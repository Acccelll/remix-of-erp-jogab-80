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d.docs.live.net/ff13526d67f82881/JOGAB/MONTAGENS E CONSTRUÇÕES/ENGENHARIA/OBRAS/214 - BARRA/MEDIÇÕES/"/>
    </mc:Choice>
  </mc:AlternateContent>
  <xr:revisionPtr revIDLastSave="0" documentId="8_{16D78E9A-989B-4BD2-BD1C-1975B7399E26}" xr6:coauthVersionLast="47" xr6:coauthVersionMax="47" xr10:uidLastSave="{00000000-0000-0000-0000-000000000000}"/>
  <bookViews>
    <workbookView xWindow="14780" yWindow="-105" windowWidth="18851" windowHeight="9766" tabRatio="736" activeTab="3" xr2:uid="{00000000-000D-0000-FFFF-FFFF00000000}"/>
  </bookViews>
  <sheets>
    <sheet name="ADIANTAMENTO" sheetId="942" r:id="rId1"/>
    <sheet name="BMS 01" sheetId="943" r:id="rId2"/>
    <sheet name="BMS 02" sheetId="945" r:id="rId3"/>
    <sheet name="BMS 03" sheetId="946" r:id="rId4"/>
  </sheets>
  <definedNames>
    <definedName name="_xlnm._FilterDatabase" localSheetId="0" hidden="1">ADIANTAMENTO!$A$1:$O$19</definedName>
    <definedName name="_xlnm._FilterDatabase" localSheetId="1" hidden="1">'BMS 01'!$A$1:$O$19</definedName>
    <definedName name="_xlnm._FilterDatabase" localSheetId="2" hidden="1">'BMS 02'!$A$1:$O$19</definedName>
    <definedName name="_xlnm._FilterDatabase" localSheetId="3" hidden="1">'BMS 03'!$A$1:$O$19</definedName>
    <definedName name="_xlnm.Print_Area" localSheetId="0">ADIANTAMENTO!$A$1:$O$29</definedName>
    <definedName name="_xlnm.Print_Area" localSheetId="1">'BMS 01'!$A$1:$O$29</definedName>
    <definedName name="_xlnm.Print_Area" localSheetId="2">'BMS 02'!$A$1:$O$29</definedName>
    <definedName name="_xlnm.Print_Area" localSheetId="3">'BMS 03'!$A$1:$O$29</definedName>
    <definedName name="TABLE" localSheetId="0">ADIANTAMENTO!#REF!</definedName>
    <definedName name="TABLE" localSheetId="1">'BMS 01'!#REF!</definedName>
    <definedName name="TABLE" localSheetId="2">'BMS 02'!#REF!</definedName>
    <definedName name="TABLE" localSheetId="3">'BMS 03'!#REF!</definedName>
    <definedName name="TABLE_2" localSheetId="0">ADIANTAMENTO!#REF!</definedName>
    <definedName name="TABLE_2" localSheetId="1">'BMS 01'!#REF!</definedName>
    <definedName name="TABLE_2" localSheetId="2">'BMS 02'!#REF!</definedName>
    <definedName name="TABLE_2" localSheetId="3">'BMS 03'!#REF!</definedName>
    <definedName name="_xlnm.Print_Titles" localSheetId="0">ADIANTAMENTO!$7:$8</definedName>
    <definedName name="_xlnm.Print_Titles" localSheetId="1">'BMS 01'!$7:$8</definedName>
    <definedName name="_xlnm.Print_Titles" localSheetId="2">'BMS 02'!$7:$8</definedName>
    <definedName name="_xlnm.Print_Titles" localSheetId="3">'BMS 03'!$7:$8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0" i="946" l="1"/>
  <c r="R11" i="946"/>
  <c r="R13" i="946"/>
  <c r="R14" i="946"/>
  <c r="R15" i="946"/>
  <c r="F40" i="946"/>
  <c r="F41" i="946" s="1"/>
  <c r="F42" i="946" s="1"/>
  <c r="C25" i="946"/>
  <c r="L15" i="946"/>
  <c r="K15" i="946"/>
  <c r="G15" i="946"/>
  <c r="I15" i="946" s="1"/>
  <c r="L14" i="946"/>
  <c r="K14" i="946"/>
  <c r="G14" i="946"/>
  <c r="I14" i="946" s="1"/>
  <c r="L13" i="946"/>
  <c r="N13" i="946" s="1"/>
  <c r="O13" i="946" s="1"/>
  <c r="K13" i="946"/>
  <c r="G13" i="946"/>
  <c r="I13" i="946" s="1"/>
  <c r="M13" i="946" s="1"/>
  <c r="L12" i="946"/>
  <c r="R12" i="946" s="1"/>
  <c r="K12" i="946"/>
  <c r="G12" i="946"/>
  <c r="I12" i="946" s="1"/>
  <c r="L11" i="946"/>
  <c r="K11" i="946"/>
  <c r="G11" i="946"/>
  <c r="I11" i="946" s="1"/>
  <c r="L10" i="946"/>
  <c r="K10" i="946"/>
  <c r="G10" i="946"/>
  <c r="I10" i="946" s="1"/>
  <c r="M10" i="946" s="1"/>
  <c r="L9" i="946"/>
  <c r="N9" i="946" s="1"/>
  <c r="O9" i="946" s="1"/>
  <c r="F9" i="946"/>
  <c r="G9" i="946" s="1"/>
  <c r="C26" i="945"/>
  <c r="C25" i="945"/>
  <c r="N10" i="946" l="1"/>
  <c r="O10" i="946" s="1"/>
  <c r="M14" i="946"/>
  <c r="M11" i="946"/>
  <c r="M15" i="946"/>
  <c r="M12" i="946"/>
  <c r="I9" i="946"/>
  <c r="I16" i="946" s="1"/>
  <c r="H16" i="946" s="1"/>
  <c r="G16" i="946"/>
  <c r="K9" i="946"/>
  <c r="N11" i="946"/>
  <c r="O11" i="946" s="1"/>
  <c r="O16" i="946" s="1"/>
  <c r="N14" i="946"/>
  <c r="O14" i="946" s="1"/>
  <c r="N12" i="946"/>
  <c r="O12" i="946" s="1"/>
  <c r="N15" i="946"/>
  <c r="O15" i="946" s="1"/>
  <c r="R11" i="945"/>
  <c r="R15" i="945"/>
  <c r="F40" i="945"/>
  <c r="F41" i="945" s="1"/>
  <c r="F42" i="945" s="1"/>
  <c r="L15" i="945"/>
  <c r="N15" i="945" s="1"/>
  <c r="K15" i="945"/>
  <c r="G15" i="945"/>
  <c r="I15" i="945" s="1"/>
  <c r="L14" i="945"/>
  <c r="N14" i="945" s="1"/>
  <c r="K14" i="945"/>
  <c r="G14" i="945"/>
  <c r="I14" i="945" s="1"/>
  <c r="L13" i="945"/>
  <c r="N13" i="945" s="1"/>
  <c r="O13" i="945" s="1"/>
  <c r="K13" i="945"/>
  <c r="M13" i="945" s="1"/>
  <c r="I13" i="945"/>
  <c r="G13" i="945"/>
  <c r="L12" i="945"/>
  <c r="N12" i="945" s="1"/>
  <c r="K12" i="945"/>
  <c r="G12" i="945"/>
  <c r="I12" i="945" s="1"/>
  <c r="M12" i="945" s="1"/>
  <c r="L11" i="945"/>
  <c r="N11" i="945" s="1"/>
  <c r="K11" i="945"/>
  <c r="M11" i="945" s="1"/>
  <c r="G11" i="945"/>
  <c r="I11" i="945" s="1"/>
  <c r="L10" i="945"/>
  <c r="N10" i="945" s="1"/>
  <c r="K10" i="945"/>
  <c r="G10" i="945"/>
  <c r="I10" i="945" s="1"/>
  <c r="L9" i="945"/>
  <c r="N9" i="945" s="1"/>
  <c r="F9" i="945"/>
  <c r="K9" i="945" s="1"/>
  <c r="C34" i="946" l="1"/>
  <c r="N16" i="946"/>
  <c r="K16" i="946"/>
  <c r="F35" i="946" s="1"/>
  <c r="M9" i="946"/>
  <c r="M16" i="946" s="1"/>
  <c r="C32" i="946"/>
  <c r="C24" i="946"/>
  <c r="C26" i="946" s="1"/>
  <c r="R10" i="945"/>
  <c r="R14" i="945"/>
  <c r="R13" i="945"/>
  <c r="R12" i="945"/>
  <c r="M15" i="945"/>
  <c r="O14" i="945"/>
  <c r="O15" i="945"/>
  <c r="O10" i="945"/>
  <c r="O12" i="945"/>
  <c r="O11" i="945"/>
  <c r="M10" i="945"/>
  <c r="M14" i="945"/>
  <c r="K16" i="945"/>
  <c r="F34" i="945" s="1"/>
  <c r="G9" i="945"/>
  <c r="O9" i="945" s="1"/>
  <c r="C35" i="946" l="1"/>
  <c r="L16" i="946"/>
  <c r="C33" i="946"/>
  <c r="J16" i="946"/>
  <c r="J18" i="946"/>
  <c r="O16" i="945"/>
  <c r="C34" i="945" s="1"/>
  <c r="G16" i="945"/>
  <c r="I9" i="945"/>
  <c r="J16" i="945"/>
  <c r="J18" i="945"/>
  <c r="N16" i="945" l="1"/>
  <c r="C35" i="945"/>
  <c r="C24" i="945"/>
  <c r="C32" i="945"/>
  <c r="I16" i="945"/>
  <c r="H16" i="945" s="1"/>
  <c r="M9" i="945"/>
  <c r="M16" i="945" s="1"/>
  <c r="C33" i="945" s="1"/>
  <c r="L16" i="945" l="1"/>
  <c r="L15" i="943" l="1"/>
  <c r="N15" i="943" s="1"/>
  <c r="O15" i="943" s="1"/>
  <c r="K15" i="943"/>
  <c r="G15" i="943"/>
  <c r="I15" i="943" s="1"/>
  <c r="L14" i="943"/>
  <c r="N14" i="943" s="1"/>
  <c r="O14" i="943" s="1"/>
  <c r="K14" i="943"/>
  <c r="G14" i="943"/>
  <c r="I14" i="943" s="1"/>
  <c r="L13" i="943"/>
  <c r="N13" i="943" s="1"/>
  <c r="O13" i="943" s="1"/>
  <c r="K13" i="943"/>
  <c r="G13" i="943"/>
  <c r="I13" i="943" s="1"/>
  <c r="L12" i="943"/>
  <c r="N12" i="943" s="1"/>
  <c r="O12" i="943" s="1"/>
  <c r="K12" i="943"/>
  <c r="G12" i="943"/>
  <c r="I12" i="943" s="1"/>
  <c r="M12" i="943" s="1"/>
  <c r="L11" i="943"/>
  <c r="N11" i="943" s="1"/>
  <c r="O11" i="943" s="1"/>
  <c r="K11" i="943"/>
  <c r="G11" i="943"/>
  <c r="I11" i="943" s="1"/>
  <c r="L10" i="943"/>
  <c r="N10" i="943" s="1"/>
  <c r="O10" i="943" s="1"/>
  <c r="K10" i="943"/>
  <c r="G10" i="943"/>
  <c r="I10" i="943" s="1"/>
  <c r="L9" i="943"/>
  <c r="N9" i="943" s="1"/>
  <c r="F9" i="943"/>
  <c r="K9" i="943" s="1"/>
  <c r="F24" i="942"/>
  <c r="I16" i="942"/>
  <c r="G16" i="942"/>
  <c r="F9" i="942"/>
  <c r="L9" i="942"/>
  <c r="N9" i="942" s="1"/>
  <c r="K9" i="942"/>
  <c r="G9" i="942"/>
  <c r="I9" i="942" s="1"/>
  <c r="L14" i="942"/>
  <c r="N14" i="942" s="1"/>
  <c r="K14" i="942"/>
  <c r="G14" i="942"/>
  <c r="I14" i="942" s="1"/>
  <c r="M14" i="942" s="1"/>
  <c r="G15" i="942"/>
  <c r="I15" i="942" s="1"/>
  <c r="G13" i="942"/>
  <c r="I13" i="942" s="1"/>
  <c r="G12" i="942"/>
  <c r="I12" i="942" s="1"/>
  <c r="G11" i="942"/>
  <c r="G10" i="942"/>
  <c r="I10" i="942" s="1"/>
  <c r="I11" i="942"/>
  <c r="M11" i="943" l="1"/>
  <c r="M10" i="943"/>
  <c r="M14" i="943"/>
  <c r="M13" i="943"/>
  <c r="M15" i="943"/>
  <c r="K16" i="943"/>
  <c r="F25" i="943" s="1"/>
  <c r="F32" i="943" s="1"/>
  <c r="F33" i="943" s="1"/>
  <c r="F34" i="943" s="1"/>
  <c r="G9" i="943"/>
  <c r="M9" i="942"/>
  <c r="O9" i="942"/>
  <c r="O16" i="942" s="1"/>
  <c r="O14" i="942"/>
  <c r="L15" i="942"/>
  <c r="N15" i="942" s="1"/>
  <c r="O15" i="942" s="1"/>
  <c r="K15" i="942"/>
  <c r="L13" i="942"/>
  <c r="N13" i="942" s="1"/>
  <c r="O13" i="942" s="1"/>
  <c r="K13" i="942"/>
  <c r="L12" i="942"/>
  <c r="N12" i="942" s="1"/>
  <c r="O12" i="942" s="1"/>
  <c r="K12" i="942"/>
  <c r="M12" i="942" s="1"/>
  <c r="L11" i="942"/>
  <c r="N11" i="942" s="1"/>
  <c r="O11" i="942" s="1"/>
  <c r="K11" i="942"/>
  <c r="L10" i="942"/>
  <c r="N10" i="942" s="1"/>
  <c r="O10" i="942" s="1"/>
  <c r="K10" i="942"/>
  <c r="K16" i="942" s="1"/>
  <c r="J16" i="943" l="1"/>
  <c r="J18" i="943"/>
  <c r="I9" i="943"/>
  <c r="G16" i="943"/>
  <c r="C24" i="943" s="1"/>
  <c r="O9" i="943"/>
  <c r="O16" i="943" s="1"/>
  <c r="M16" i="942"/>
  <c r="M15" i="942"/>
  <c r="M11" i="942"/>
  <c r="M13" i="942"/>
  <c r="M10" i="942"/>
  <c r="C24" i="942"/>
  <c r="H16" i="942"/>
  <c r="C26" i="943" l="1"/>
  <c r="N16" i="943"/>
  <c r="I16" i="943"/>
  <c r="H16" i="943" s="1"/>
  <c r="M9" i="943"/>
  <c r="M16" i="943" s="1"/>
  <c r="J16" i="942"/>
  <c r="J18" i="942"/>
  <c r="C25" i="943" l="1"/>
  <c r="L16" i="943"/>
  <c r="L16" i="942"/>
  <c r="C25" i="942"/>
  <c r="N16" i="942"/>
  <c r="C26" i="942"/>
  <c r="F32" i="942"/>
  <c r="F33" i="942" s="1"/>
  <c r="F34" i="94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Rodrigues</author>
  </authors>
  <commentList>
    <comment ref="A2" authorId="0" shapeId="0" xr:uid="{2E1CFDB5-D7DF-4909-BD0B-8784F46BD771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G3" authorId="0" shapeId="0" xr:uid="{3E42CB9D-93E0-453E-A541-61F6CE8B86DE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4" authorId="0" shapeId="0" xr:uid="{836968CD-AA94-4E9E-8110-D6165D6071AF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5" authorId="0" shapeId="0" xr:uid="{80B010ED-DE45-4244-977A-41CB6EB27375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6" authorId="0" shapeId="0" xr:uid="{DC114B53-1DDB-42C7-8B01-51316153554C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Rodrigues</author>
  </authors>
  <commentList>
    <comment ref="A2" authorId="0" shapeId="0" xr:uid="{A6DCCD19-A9C8-4388-9147-2B78526901D6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G3" authorId="0" shapeId="0" xr:uid="{1628BB97-720C-4857-B720-356AAAD54DC1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4" authorId="0" shapeId="0" xr:uid="{068E8CE4-2D01-4683-BEF4-4FBC2F971A6C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5" authorId="0" shapeId="0" xr:uid="{EFB9E868-42D1-4497-BBFA-B2D7C7085C77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6" authorId="0" shapeId="0" xr:uid="{7F56C33B-8E4C-4D42-A082-6CC857C14656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Rodrigues</author>
  </authors>
  <commentList>
    <comment ref="A2" authorId="0" shapeId="0" xr:uid="{A9CD793E-071D-4339-8A85-86DF217D3C22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G3" authorId="0" shapeId="0" xr:uid="{9D126F30-BA0E-4C55-8BA6-BC9CFE02B03A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4" authorId="0" shapeId="0" xr:uid="{6ADBC70C-2266-4853-97CE-ED517FBD29CF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5" authorId="0" shapeId="0" xr:uid="{CB470D16-C1C2-4462-A407-AA59E946CEF0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6" authorId="0" shapeId="0" xr:uid="{12442B1F-6268-4E51-8466-3496D48C97E0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Rodrigues</author>
  </authors>
  <commentList>
    <comment ref="A2" authorId="0" shapeId="0" xr:uid="{343D5937-D7D0-4E61-BE65-4F773C5B567A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G3" authorId="0" shapeId="0" xr:uid="{028438E0-813C-41E0-B36C-719A7F3A9337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4" authorId="0" shapeId="0" xr:uid="{3C2A448A-A3C9-4272-A205-E8C2672FC302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5" authorId="0" shapeId="0" xr:uid="{7C163B3E-448A-4512-BD57-9D26DC368754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6" authorId="0" shapeId="0" xr:uid="{30D4BA24-C728-4C01-B7A1-78898F1B3B80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</commentList>
</comments>
</file>

<file path=xl/sharedStrings.xml><?xml version="1.0" encoding="utf-8"?>
<sst xmlns="http://schemas.openxmlformats.org/spreadsheetml/2006/main" count="394" uniqueCount="81">
  <si>
    <t xml:space="preserve">Contratada: </t>
  </si>
  <si>
    <t xml:space="preserve">Serviço/Obra:  </t>
  </si>
  <si>
    <t xml:space="preserve">Data:  </t>
  </si>
  <si>
    <t>Valor (R$)</t>
  </si>
  <si>
    <t>Saldo Atual</t>
  </si>
  <si>
    <t>Ítem</t>
  </si>
  <si>
    <t>Descrição dos Serviços</t>
  </si>
  <si>
    <t>Quant.</t>
  </si>
  <si>
    <t>U.M.</t>
  </si>
  <si>
    <t>Valor(R$)</t>
  </si>
  <si>
    <t>Observações:</t>
  </si>
  <si>
    <t>BOLETIM DE MEDIÇÃO DE SERVIÇO - BMS</t>
  </si>
  <si>
    <t xml:space="preserve">Boletim de Medição Nº:   </t>
  </si>
  <si>
    <t>Cond. Pagto:</t>
  </si>
  <si>
    <t>Acumulado até mês anterior</t>
  </si>
  <si>
    <t>Executado no mês</t>
  </si>
  <si>
    <t>SUB TOTAL</t>
  </si>
  <si>
    <t>Acumulado até a data</t>
  </si>
  <si>
    <t xml:space="preserve">Folha nº </t>
  </si>
  <si>
    <t>Gerenciamento Aliada:</t>
  </si>
  <si>
    <t>Preço Unitário (R$)</t>
  </si>
  <si>
    <t>VALOR TOTAL (R$)</t>
  </si>
  <si>
    <t>Total Desta Medição</t>
  </si>
  <si>
    <t xml:space="preserve">Nome do Projeto:     </t>
  </si>
  <si>
    <r>
      <t>Período:</t>
    </r>
    <r>
      <rPr>
        <sz val="9"/>
        <rFont val="Arial"/>
        <family val="2"/>
      </rPr>
      <t xml:space="preserve"> </t>
    </r>
  </si>
  <si>
    <t>VALOR CONTRATUAL</t>
  </si>
  <si>
    <t>MED. 01</t>
  </si>
  <si>
    <t>MED. 06</t>
  </si>
  <si>
    <t>MED. 11</t>
  </si>
  <si>
    <t>MED. 16</t>
  </si>
  <si>
    <t>MED. 21</t>
  </si>
  <si>
    <t>MED. 02</t>
  </si>
  <si>
    <t>MED. 07</t>
  </si>
  <si>
    <t>MED. 12</t>
  </si>
  <si>
    <t>MED. 17</t>
  </si>
  <si>
    <t>MED. 22</t>
  </si>
  <si>
    <t>SALDO CONTRATUAL ($)</t>
  </si>
  <si>
    <t>MED. 03</t>
  </si>
  <si>
    <t>MED. 08</t>
  </si>
  <si>
    <t>MED. 13</t>
  </si>
  <si>
    <t>MED. 18</t>
  </si>
  <si>
    <t>MED. 23</t>
  </si>
  <si>
    <t>MED. 04</t>
  </si>
  <si>
    <t>MED. 09</t>
  </si>
  <si>
    <t>MED. 14</t>
  </si>
  <si>
    <t>MED. 19</t>
  </si>
  <si>
    <t>MED. 24</t>
  </si>
  <si>
    <t>MED. 10</t>
  </si>
  <si>
    <t>MED. 15</t>
  </si>
  <si>
    <t>MED. 20</t>
  </si>
  <si>
    <t>VALOR TOTAL ACUMULADO ( $ )</t>
  </si>
  <si>
    <t>HISTÓRICO</t>
  </si>
  <si>
    <t>vb</t>
  </si>
  <si>
    <t>PROJETOS, MOBILIZAÇÕES E CANTEIRO</t>
  </si>
  <si>
    <t>JOGAB MONTAGENS E CONSTRUÇÕES</t>
  </si>
  <si>
    <t>Contrato:</t>
  </si>
  <si>
    <t xml:space="preserve">Valor Total Contrato(R$):   </t>
  </si>
  <si>
    <t>BMS 01</t>
  </si>
  <si>
    <t>20/01/2026 - 20/01/2026</t>
  </si>
  <si>
    <t>PÁTIOS</t>
  </si>
  <si>
    <t>CONSTRUÇÃO RESERVATÓRIOS E CAIXAS DE DECANTAÇÃO</t>
  </si>
  <si>
    <t>Raízen - Unidade Barra</t>
  </si>
  <si>
    <t>90 DDL</t>
  </si>
  <si>
    <t>SERVIÇOS COMPLEMENTARES</t>
  </si>
  <si>
    <t>RESERVATÓRIO 01</t>
  </si>
  <si>
    <t>RESERVATÓRIO 02</t>
  </si>
  <si>
    <t>SISTEMA DE DECANTAÇÃO 02</t>
  </si>
  <si>
    <t>SISTEMA DE DECANTAÇÃO 01</t>
  </si>
  <si>
    <t>ADIANTAMENTO 10%</t>
  </si>
  <si>
    <t>ADIANT.</t>
  </si>
  <si>
    <t>ADIANTAMENTO</t>
  </si>
  <si>
    <t>21/01/2026 - 16/02/2026</t>
  </si>
  <si>
    <t>BMS 02</t>
  </si>
  <si>
    <t>HISTÓRICO REAL</t>
  </si>
  <si>
    <t>VALOR A SER MEDIDO ($)</t>
  </si>
  <si>
    <t>MED. 05</t>
  </si>
  <si>
    <t>HISTÓRICO - LIBERADO FATURAMENTO</t>
  </si>
  <si>
    <t>Real(%)</t>
  </si>
  <si>
    <t>17/02/2026 - 23/05/2026</t>
  </si>
  <si>
    <t>BMS 03</t>
  </si>
  <si>
    <t>24/05/2026 - 10/06/2026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</si>
</sst>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0000"/>
    <numFmt numFmtId="166" formatCode="d/m/yyyy;@"/>
    <numFmt numFmtId="167" formatCode="_-* #,##0.0000000000000000000_-;\-* #,##0.0000000000000000000_-;_-* &quot;-&quot;??_-;_-@_-"/>
    <numFmt numFmtId="168" formatCode="&quot;R$&quot;\ #,##0.00"/>
    <numFmt numFmtId="169" formatCode="0000.00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6"/>
      <color theme="0"/>
      <name val="Arial"/>
      <family val="2"/>
    </font>
    <font>
      <b/>
      <sz val="12"/>
      <color theme="0"/>
      <name val="Arial"/>
      <family val="2"/>
    </font>
    <font>
      <b/>
      <sz val="12"/>
      <name val="Arial"/>
      <family val="2"/>
    </font>
    <font>
      <b/>
      <sz val="14"/>
      <color theme="0"/>
      <name val="Arial"/>
      <family val="2"/>
    </font>
    <font>
      <sz val="8"/>
      <color rgb="FF000000"/>
      <name val="Tahoma"/>
      <family val="2"/>
    </font>
    <font>
      <sz val="14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gray125">
        <bgColor rgb="FFA19E8F"/>
      </patternFill>
    </fill>
    <fill>
      <patternFill patternType="solid">
        <fgColor rgb="FFE5E1D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" fillId="0" borderId="0"/>
    <xf numFmtId="0" fontId="1" fillId="0" borderId="0"/>
  </cellStyleXfs>
  <cellXfs count="162">
    <xf numFmtId="0" fontId="0" fillId="0" borderId="0" xfId="0"/>
    <xf numFmtId="0" fontId="2" fillId="0" borderId="0" xfId="0" applyFont="1" applyAlignment="1">
      <alignment horizontal="center"/>
    </xf>
    <xf numFmtId="0" fontId="7" fillId="0" borderId="0" xfId="0" applyFont="1"/>
    <xf numFmtId="0" fontId="6" fillId="0" borderId="0" xfId="0" applyFont="1"/>
    <xf numFmtId="0" fontId="0" fillId="2" borderId="0" xfId="0" applyFill="1"/>
    <xf numFmtId="0" fontId="0" fillId="4" borderId="0" xfId="0" applyFill="1"/>
    <xf numFmtId="0" fontId="0" fillId="4" borderId="2" xfId="0" applyFill="1" applyBorder="1"/>
    <xf numFmtId="0" fontId="0" fillId="2" borderId="4" xfId="0" applyFill="1" applyBorder="1"/>
    <xf numFmtId="0" fontId="0" fillId="2" borderId="2" xfId="0" applyFill="1" applyBorder="1"/>
    <xf numFmtId="0" fontId="0" fillId="0" borderId="4" xfId="0" applyBorder="1"/>
    <xf numFmtId="0" fontId="0" fillId="2" borderId="5" xfId="0" applyFill="1" applyBorder="1"/>
    <xf numFmtId="0" fontId="0" fillId="2" borderId="1" xfId="0" applyFill="1" applyBorder="1"/>
    <xf numFmtId="0" fontId="0" fillId="2" borderId="6" xfId="0" applyFill="1" applyBorder="1"/>
    <xf numFmtId="0" fontId="0" fillId="4" borderId="1" xfId="0" applyFill="1" applyBorder="1"/>
    <xf numFmtId="0" fontId="0" fillId="4" borderId="6" xfId="0" applyFill="1" applyBorder="1"/>
    <xf numFmtId="9" fontId="4" fillId="0" borderId="20" xfId="1" applyFont="1" applyFill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20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7" fillId="0" borderId="20" xfId="0" applyFont="1" applyBorder="1" applyAlignment="1">
      <alignment horizontal="center" vertical="center" wrapText="1"/>
    </xf>
    <xf numFmtId="165" fontId="15" fillId="7" borderId="5" xfId="3" applyNumberFormat="1" applyFont="1" applyFill="1" applyBorder="1" applyAlignment="1">
      <alignment horizontal="center" vertical="top"/>
    </xf>
    <xf numFmtId="165" fontId="15" fillId="7" borderId="1" xfId="3" applyNumberFormat="1" applyFont="1" applyFill="1" applyBorder="1" applyAlignment="1">
      <alignment horizontal="center" vertical="top"/>
    </xf>
    <xf numFmtId="165" fontId="9" fillId="7" borderId="1" xfId="3" applyNumberFormat="1" applyFont="1" applyFill="1" applyBorder="1" applyAlignment="1">
      <alignment horizontal="center" vertical="top"/>
    </xf>
    <xf numFmtId="165" fontId="15" fillId="7" borderId="6" xfId="3" applyNumberFormat="1" applyFont="1" applyFill="1" applyBorder="1" applyAlignment="1">
      <alignment horizontal="center" vertical="top"/>
    </xf>
    <xf numFmtId="165" fontId="12" fillId="7" borderId="20" xfId="3" applyNumberFormat="1" applyFont="1" applyFill="1" applyBorder="1" applyAlignment="1">
      <alignment horizontal="center" vertical="center"/>
    </xf>
    <xf numFmtId="164" fontId="12" fillId="7" borderId="20" xfId="2" applyFont="1" applyFill="1" applyBorder="1" applyAlignment="1">
      <alignment horizontal="center" vertical="center"/>
    </xf>
    <xf numFmtId="166" fontId="12" fillId="7" borderId="21" xfId="3" applyNumberFormat="1" applyFont="1" applyFill="1" applyBorder="1" applyAlignment="1">
      <alignment horizontal="center" vertical="center"/>
    </xf>
    <xf numFmtId="164" fontId="12" fillId="7" borderId="21" xfId="2" applyFont="1" applyFill="1" applyBorder="1" applyAlignment="1">
      <alignment horizontal="center" vertical="center"/>
    </xf>
    <xf numFmtId="164" fontId="12" fillId="7" borderId="8" xfId="2" applyFont="1" applyFill="1" applyBorder="1" applyAlignment="1">
      <alignment horizontal="center" vertical="center"/>
    </xf>
    <xf numFmtId="168" fontId="15" fillId="7" borderId="1" xfId="3" applyNumberFormat="1" applyFont="1" applyFill="1" applyBorder="1" applyAlignment="1">
      <alignment horizontal="center" vertical="top"/>
    </xf>
    <xf numFmtId="169" fontId="15" fillId="7" borderId="1" xfId="3" applyNumberFormat="1" applyFont="1" applyFill="1" applyBorder="1" applyAlignment="1">
      <alignment horizontal="center" vertical="top"/>
    </xf>
    <xf numFmtId="0" fontId="10" fillId="9" borderId="17" xfId="0" applyFont="1" applyFill="1" applyBorder="1" applyAlignment="1">
      <alignment vertical="center"/>
    </xf>
    <xf numFmtId="0" fontId="10" fillId="9" borderId="19" xfId="0" applyFont="1" applyFill="1" applyBorder="1" applyAlignment="1">
      <alignment vertical="center"/>
    </xf>
    <xf numFmtId="0" fontId="4" fillId="5" borderId="35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center"/>
    </xf>
    <xf numFmtId="0" fontId="4" fillId="5" borderId="37" xfId="0" applyFont="1" applyFill="1" applyBorder="1" applyAlignment="1">
      <alignment horizontal="center" vertical="center"/>
    </xf>
    <xf numFmtId="0" fontId="4" fillId="5" borderId="3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164" fontId="12" fillId="5" borderId="38" xfId="2" applyFont="1" applyFill="1" applyBorder="1" applyAlignment="1">
      <alignment horizontal="center" vertical="center"/>
    </xf>
    <xf numFmtId="10" fontId="12" fillId="5" borderId="39" xfId="1" applyNumberFormat="1" applyFont="1" applyFill="1" applyBorder="1" applyAlignment="1">
      <alignment horizontal="center" vertical="center"/>
    </xf>
    <xf numFmtId="10" fontId="12" fillId="5" borderId="40" xfId="1" applyNumberFormat="1" applyFont="1" applyFill="1" applyBorder="1" applyAlignment="1">
      <alignment horizontal="center" vertical="center"/>
    </xf>
    <xf numFmtId="164" fontId="12" fillId="5" borderId="41" xfId="2" applyFont="1" applyFill="1" applyBorder="1" applyAlignment="1">
      <alignment horizontal="center" vertical="center"/>
    </xf>
    <xf numFmtId="164" fontId="12" fillId="5" borderId="42" xfId="2" applyFont="1" applyFill="1" applyBorder="1" applyAlignment="1">
      <alignment horizontal="center" vertical="center"/>
    </xf>
    <xf numFmtId="164" fontId="12" fillId="5" borderId="42" xfId="0" applyNumberFormat="1" applyFont="1" applyFill="1" applyBorder="1" applyAlignment="1">
      <alignment horizontal="center" vertical="center"/>
    </xf>
    <xf numFmtId="164" fontId="7" fillId="3" borderId="8" xfId="2" applyFont="1" applyFill="1" applyBorder="1" applyAlignment="1">
      <alignment vertical="center"/>
    </xf>
    <xf numFmtId="0" fontId="7" fillId="0" borderId="15" xfId="0" applyFont="1" applyBorder="1" applyAlignment="1">
      <alignment horizontal="center" vertical="center" wrapText="1"/>
    </xf>
    <xf numFmtId="164" fontId="7" fillId="3" borderId="43" xfId="2" applyFont="1" applyFill="1" applyBorder="1" applyAlignment="1">
      <alignment vertical="center"/>
    </xf>
    <xf numFmtId="43" fontId="0" fillId="0" borderId="0" xfId="0" applyNumberFormat="1"/>
    <xf numFmtId="43" fontId="6" fillId="0" borderId="0" xfId="0" applyNumberFormat="1" applyFont="1"/>
    <xf numFmtId="0" fontId="12" fillId="0" borderId="7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164" fontId="7" fillId="3" borderId="26" xfId="2" applyFont="1" applyFill="1" applyBorder="1" applyAlignment="1">
      <alignment vertical="center"/>
    </xf>
    <xf numFmtId="0" fontId="12" fillId="0" borderId="16" xfId="0" applyFont="1" applyBorder="1" applyAlignment="1">
      <alignment horizontal="center" vertical="center" wrapText="1"/>
    </xf>
    <xf numFmtId="164" fontId="12" fillId="7" borderId="21" xfId="2" applyFont="1" applyFill="1" applyBorder="1" applyAlignment="1">
      <alignment horizontal="center" vertical="center"/>
    </xf>
    <xf numFmtId="0" fontId="4" fillId="5" borderId="35" xfId="0" applyFont="1" applyFill="1" applyBorder="1" applyAlignment="1">
      <alignment horizontal="center" vertical="center"/>
    </xf>
    <xf numFmtId="0" fontId="7" fillId="0" borderId="25" xfId="1" applyNumberFormat="1" applyFont="1" applyFill="1" applyBorder="1" applyAlignment="1">
      <alignment horizontal="center" vertical="center" wrapText="1"/>
    </xf>
    <xf numFmtId="164" fontId="7" fillId="0" borderId="25" xfId="0" applyNumberFormat="1" applyFont="1" applyBorder="1" applyAlignment="1">
      <alignment horizontal="right" vertical="center"/>
    </xf>
    <xf numFmtId="10" fontId="7" fillId="0" borderId="25" xfId="1" applyNumberFormat="1" applyFont="1" applyFill="1" applyBorder="1" applyAlignment="1">
      <alignment horizontal="center" vertical="center"/>
    </xf>
    <xf numFmtId="164" fontId="7" fillId="0" borderId="25" xfId="2" applyFont="1" applyFill="1" applyBorder="1" applyAlignment="1">
      <alignment horizontal="right" vertical="center"/>
    </xf>
    <xf numFmtId="10" fontId="7" fillId="3" borderId="25" xfId="1" applyNumberFormat="1" applyFont="1" applyFill="1" applyBorder="1" applyAlignment="1">
      <alignment horizontal="center" vertical="center"/>
    </xf>
    <xf numFmtId="164" fontId="7" fillId="3" borderId="25" xfId="2" applyFont="1" applyFill="1" applyBorder="1" applyAlignment="1">
      <alignment horizontal="right" vertical="center"/>
    </xf>
    <xf numFmtId="0" fontId="7" fillId="0" borderId="20" xfId="1" applyNumberFormat="1" applyFont="1" applyFill="1" applyBorder="1" applyAlignment="1">
      <alignment horizontal="center" vertical="center" wrapText="1"/>
    </xf>
    <xf numFmtId="164" fontId="7" fillId="0" borderId="20" xfId="0" applyNumberFormat="1" applyFont="1" applyBorder="1" applyAlignment="1">
      <alignment horizontal="right" vertical="center"/>
    </xf>
    <xf numFmtId="10" fontId="7" fillId="0" borderId="20" xfId="1" applyNumberFormat="1" applyFont="1" applyFill="1" applyBorder="1" applyAlignment="1">
      <alignment horizontal="center" vertical="center"/>
    </xf>
    <xf numFmtId="164" fontId="7" fillId="0" borderId="20" xfId="2" applyFont="1" applyFill="1" applyBorder="1" applyAlignment="1">
      <alignment horizontal="right" vertical="center"/>
    </xf>
    <xf numFmtId="10" fontId="7" fillId="3" borderId="20" xfId="1" applyNumberFormat="1" applyFont="1" applyFill="1" applyBorder="1" applyAlignment="1">
      <alignment horizontal="center" vertical="center"/>
    </xf>
    <xf numFmtId="164" fontId="7" fillId="3" borderId="20" xfId="2" applyFont="1" applyFill="1" applyBorder="1" applyAlignment="1">
      <alignment horizontal="right" vertical="center"/>
    </xf>
    <xf numFmtId="0" fontId="7" fillId="0" borderId="15" xfId="1" applyNumberFormat="1" applyFont="1" applyFill="1" applyBorder="1" applyAlignment="1">
      <alignment horizontal="center" vertical="center" wrapText="1"/>
    </xf>
    <xf numFmtId="164" fontId="7" fillId="0" borderId="15" xfId="0" applyNumberFormat="1" applyFont="1" applyBorder="1" applyAlignment="1">
      <alignment horizontal="right" vertical="center"/>
    </xf>
    <xf numFmtId="10" fontId="7" fillId="0" borderId="15" xfId="1" applyNumberFormat="1" applyFont="1" applyFill="1" applyBorder="1" applyAlignment="1">
      <alignment horizontal="center" vertical="center"/>
    </xf>
    <xf numFmtId="164" fontId="7" fillId="0" borderId="15" xfId="2" applyFont="1" applyFill="1" applyBorder="1" applyAlignment="1">
      <alignment horizontal="right" vertical="center"/>
    </xf>
    <xf numFmtId="10" fontId="7" fillId="3" borderId="15" xfId="1" applyNumberFormat="1" applyFont="1" applyFill="1" applyBorder="1" applyAlignment="1">
      <alignment horizontal="center" vertical="center"/>
    </xf>
    <xf numFmtId="164" fontId="7" fillId="3" borderId="15" xfId="2" applyFont="1" applyFill="1" applyBorder="1" applyAlignment="1">
      <alignment horizontal="right" vertical="center"/>
    </xf>
    <xf numFmtId="0" fontId="4" fillId="5" borderId="35" xfId="0" applyFont="1" applyFill="1" applyBorder="1" applyAlignment="1">
      <alignment horizontal="center" vertical="center"/>
    </xf>
    <xf numFmtId="164" fontId="12" fillId="7" borderId="21" xfId="2" applyFont="1" applyFill="1" applyBorder="1" applyAlignment="1">
      <alignment horizontal="center" vertical="center"/>
    </xf>
    <xf numFmtId="164" fontId="12" fillId="7" borderId="21" xfId="2" applyFont="1" applyFill="1" applyBorder="1" applyAlignment="1">
      <alignment horizontal="center" vertical="center"/>
    </xf>
    <xf numFmtId="0" fontId="4" fillId="5" borderId="35" xfId="0" applyFont="1" applyFill="1" applyBorder="1" applyAlignment="1">
      <alignment horizontal="center" vertical="center"/>
    </xf>
    <xf numFmtId="164" fontId="12" fillId="11" borderId="21" xfId="2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11" fillId="9" borderId="30" xfId="0" applyFont="1" applyFill="1" applyBorder="1" applyAlignment="1">
      <alignment horizontal="center" vertical="center"/>
    </xf>
    <xf numFmtId="0" fontId="11" fillId="9" borderId="31" xfId="0" applyFont="1" applyFill="1" applyBorder="1" applyAlignment="1">
      <alignment horizontal="center" vertical="center"/>
    </xf>
    <xf numFmtId="0" fontId="11" fillId="9" borderId="32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3" xfId="0" quotePrefix="1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23" xfId="0" applyFont="1" applyBorder="1" applyAlignment="1">
      <alignment horizontal="left" vertical="center"/>
    </xf>
    <xf numFmtId="0" fontId="4" fillId="0" borderId="22" xfId="0" quotePrefix="1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167" fontId="1" fillId="0" borderId="20" xfId="0" applyNumberFormat="1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 wrapText="1"/>
    </xf>
    <xf numFmtId="14" fontId="1" fillId="0" borderId="20" xfId="0" applyNumberFormat="1" applyFont="1" applyBorder="1" applyAlignment="1">
      <alignment horizontal="center"/>
    </xf>
    <xf numFmtId="0" fontId="5" fillId="5" borderId="29" xfId="0" applyFon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4" fillId="0" borderId="15" xfId="0" quotePrefix="1" applyFont="1" applyBorder="1" applyAlignment="1">
      <alignment horizontal="left" vertical="center"/>
    </xf>
    <xf numFmtId="4" fontId="1" fillId="0" borderId="15" xfId="0" applyNumberFormat="1" applyFont="1" applyBorder="1" applyAlignment="1">
      <alignment horizontal="center" vertical="center"/>
    </xf>
    <xf numFmtId="4" fontId="1" fillId="0" borderId="27" xfId="0" applyNumberFormat="1" applyFont="1" applyBorder="1" applyAlignment="1">
      <alignment horizontal="center" vertical="center"/>
    </xf>
    <xf numFmtId="17" fontId="1" fillId="8" borderId="15" xfId="0" applyNumberFormat="1" applyFont="1" applyFill="1" applyBorder="1" applyAlignment="1">
      <alignment horizontal="center" vertical="center" wrapText="1"/>
    </xf>
    <xf numFmtId="0" fontId="1" fillId="8" borderId="15" xfId="0" applyFont="1" applyFill="1" applyBorder="1" applyAlignment="1">
      <alignment horizontal="center" vertical="center" wrapText="1"/>
    </xf>
    <xf numFmtId="0" fontId="1" fillId="8" borderId="27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34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4" fillId="5" borderId="35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12" fillId="0" borderId="20" xfId="0" applyFont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12" fillId="0" borderId="25" xfId="0" applyFont="1" applyBorder="1" applyAlignment="1">
      <alignment horizontal="left" vertical="center" wrapText="1"/>
    </xf>
    <xf numFmtId="0" fontId="12" fillId="5" borderId="5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11" fillId="9" borderId="19" xfId="0" applyFont="1" applyFill="1" applyBorder="1" applyAlignment="1">
      <alignment horizontal="center" vertical="center"/>
    </xf>
    <xf numFmtId="0" fontId="11" fillId="9" borderId="18" xfId="0" applyFont="1" applyFill="1" applyBorder="1" applyAlignment="1">
      <alignment horizontal="center" vertical="center"/>
    </xf>
    <xf numFmtId="164" fontId="13" fillId="9" borderId="17" xfId="2" applyFont="1" applyFill="1" applyBorder="1" applyAlignment="1">
      <alignment horizontal="center" vertical="center"/>
    </xf>
    <xf numFmtId="164" fontId="13" fillId="9" borderId="19" xfId="2" applyFont="1" applyFill="1" applyBorder="1" applyAlignment="1">
      <alignment horizontal="center" vertical="center"/>
    </xf>
    <xf numFmtId="164" fontId="13" fillId="9" borderId="18" xfId="2" applyFont="1" applyFill="1" applyBorder="1" applyAlignment="1">
      <alignment horizontal="center" vertical="center"/>
    </xf>
    <xf numFmtId="165" fontId="9" fillId="6" borderId="30" xfId="3" applyNumberFormat="1" applyFont="1" applyFill="1" applyBorder="1" applyAlignment="1">
      <alignment horizontal="center" vertical="center"/>
    </xf>
    <xf numFmtId="165" fontId="9" fillId="6" borderId="31" xfId="3" applyNumberFormat="1" applyFont="1" applyFill="1" applyBorder="1" applyAlignment="1">
      <alignment horizontal="center" vertical="center"/>
    </xf>
    <xf numFmtId="165" fontId="9" fillId="6" borderId="9" xfId="3" applyNumberFormat="1" applyFont="1" applyFill="1" applyBorder="1" applyAlignment="1">
      <alignment horizontal="center" vertical="center"/>
    </xf>
    <xf numFmtId="165" fontId="9" fillId="6" borderId="32" xfId="3" applyNumberFormat="1" applyFont="1" applyFill="1" applyBorder="1" applyAlignment="1">
      <alignment horizontal="center" vertical="center"/>
    </xf>
    <xf numFmtId="165" fontId="12" fillId="7" borderId="23" xfId="3" applyNumberFormat="1" applyFont="1" applyFill="1" applyBorder="1" applyAlignment="1">
      <alignment horizontal="left" vertical="center"/>
    </xf>
    <xf numFmtId="165" fontId="12" fillId="7" borderId="22" xfId="3" applyNumberFormat="1" applyFont="1" applyFill="1" applyBorder="1" applyAlignment="1">
      <alignment horizontal="left" vertical="center"/>
    </xf>
    <xf numFmtId="165" fontId="12" fillId="7" borderId="21" xfId="3" applyNumberFormat="1" applyFont="1" applyFill="1" applyBorder="1" applyAlignment="1">
      <alignment horizontal="center" vertical="center"/>
    </xf>
    <xf numFmtId="165" fontId="12" fillId="7" borderId="22" xfId="3" applyNumberFormat="1" applyFont="1" applyFill="1" applyBorder="1" applyAlignment="1">
      <alignment horizontal="center" vertical="center"/>
    </xf>
    <xf numFmtId="164" fontId="12" fillId="7" borderId="21" xfId="2" applyFont="1" applyFill="1" applyBorder="1" applyAlignment="1">
      <alignment horizontal="center" vertical="center"/>
    </xf>
    <xf numFmtId="164" fontId="12" fillId="7" borderId="22" xfId="2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165" fontId="9" fillId="10" borderId="30" xfId="3" applyNumberFormat="1" applyFont="1" applyFill="1" applyBorder="1" applyAlignment="1">
      <alignment horizontal="center" vertical="center"/>
    </xf>
    <xf numFmtId="165" fontId="9" fillId="10" borderId="31" xfId="3" applyNumberFormat="1" applyFont="1" applyFill="1" applyBorder="1" applyAlignment="1">
      <alignment horizontal="center" vertical="center"/>
    </xf>
    <xf numFmtId="165" fontId="9" fillId="10" borderId="9" xfId="3" applyNumberFormat="1" applyFont="1" applyFill="1" applyBorder="1" applyAlignment="1">
      <alignment horizontal="center" vertical="center"/>
    </xf>
    <xf numFmtId="165" fontId="9" fillId="10" borderId="32" xfId="3" applyNumberFormat="1" applyFont="1" applyFill="1" applyBorder="1" applyAlignment="1">
      <alignment horizontal="center" vertical="center"/>
    </xf>
    <xf numFmtId="10" fontId="6" fillId="0" borderId="0" xfId="1" applyNumberFormat="1" applyFont="1"/>
  </cellXfs>
  <cellStyles count="5">
    <cellStyle name="Moeda" xfId="2" builtinId="4"/>
    <cellStyle name="Normal" xfId="0" builtinId="0"/>
    <cellStyle name="Normal 2 15" xfId="4" xr:uid="{0AD35769-41EF-41BE-A9FB-EBA4CF12EB0B}"/>
    <cellStyle name="Normal_EMC1ª069" xfId="3" xr:uid="{00000000-0005-0000-0000-000002000000}"/>
    <cellStyle name="Porcentagem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5E1DE"/>
      <color rgb="FFDEDEDE"/>
      <color rgb="FF99FF33"/>
      <color rgb="FFCCFF33"/>
      <color rgb="FF8C5660"/>
      <color rgb="FFA01C8D"/>
      <color rgb="FF666666"/>
      <color rgb="FFA19E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Radio" firstButton="1" lockText="1" noThreeD="1"/>
</file>

<file path=xl/ctrlProps/ctrlProp2.xml><?xml version="1.0" encoding="utf-8"?>
<formControlPr xmlns="http://schemas.microsoft.com/office/spreadsheetml/2009/9/main" objectType="Radio" checked="Checked" lockText="1" noThreeD="1"/>
</file>

<file path=xl/ctrlProps/ctrlProp3.xml><?xml version="1.0" encoding="utf-8"?>
<formControlPr xmlns="http://schemas.microsoft.com/office/spreadsheetml/2009/9/main" objectType="Radio" firstButton="1" lockText="1" noThreeD="1"/>
</file>

<file path=xl/ctrlProps/ctrlProp4.xml><?xml version="1.0" encoding="utf-8"?>
<formControlPr xmlns="http://schemas.microsoft.com/office/spreadsheetml/2009/9/main" objectType="Radio" checked="Checked" lockText="1" noThreeD="1"/>
</file>

<file path=xl/ctrlProps/ctrlProp5.xml><?xml version="1.0" encoding="utf-8"?>
<formControlPr xmlns="http://schemas.microsoft.com/office/spreadsheetml/2009/9/main" objectType="Radio" firstButton="1" lockText="1" noThreeD="1"/>
</file>

<file path=xl/ctrlProps/ctrlProp6.xml><?xml version="1.0" encoding="utf-8"?>
<formControlPr xmlns="http://schemas.microsoft.com/office/spreadsheetml/2009/9/main" objectType="Radio" checked="Checked" lockText="1" noThreeD="1"/>
</file>

<file path=xl/ctrlProps/ctrlProp7.xml><?xml version="1.0" encoding="utf-8"?>
<formControlPr xmlns="http://schemas.microsoft.com/office/spreadsheetml/2009/9/main" objectType="Radio" firstButton="1" lockText="1" noThreeD="1"/>
</file>

<file path=xl/ctrlProps/ctrlProp8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382385</xdr:colOff>
          <xdr:row>2</xdr:row>
          <xdr:rowOff>0</xdr:rowOff>
        </xdr:from>
        <xdr:to>
          <xdr:col>14</xdr:col>
          <xdr:colOff>1055716</xdr:colOff>
          <xdr:row>3</xdr:row>
          <xdr:rowOff>0</xdr:rowOff>
        </xdr:to>
        <xdr:sp macro="" textlink="">
          <xdr:nvSpPr>
            <xdr:cNvPr id="16385" name="Option Butto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0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507076</xdr:colOff>
          <xdr:row>1</xdr:row>
          <xdr:rowOff>232756</xdr:rowOff>
        </xdr:from>
        <xdr:to>
          <xdr:col>14</xdr:col>
          <xdr:colOff>49876</xdr:colOff>
          <xdr:row>3</xdr:row>
          <xdr:rowOff>8313</xdr:rowOff>
        </xdr:to>
        <xdr:sp macro="" textlink="">
          <xdr:nvSpPr>
            <xdr:cNvPr id="16386" name="Option Button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0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201706</xdr:colOff>
      <xdr:row>0</xdr:row>
      <xdr:rowOff>22411</xdr:rowOff>
    </xdr:from>
    <xdr:to>
      <xdr:col>1</xdr:col>
      <xdr:colOff>1852812</xdr:colOff>
      <xdr:row>0</xdr:row>
      <xdr:rowOff>769062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706" y="22411"/>
          <a:ext cx="2222606" cy="746651"/>
        </a:xfrm>
        <a:prstGeom prst="rect">
          <a:avLst/>
        </a:prstGeom>
      </xdr:spPr>
    </xdr:pic>
    <xdr:clientData/>
  </xdr:twoCellAnchor>
  <xdr:twoCellAnchor>
    <xdr:from>
      <xdr:col>1</xdr:col>
      <xdr:colOff>1000575</xdr:colOff>
      <xdr:row>19</xdr:row>
      <xdr:rowOff>88899</xdr:rowOff>
    </xdr:from>
    <xdr:to>
      <xdr:col>2</xdr:col>
      <xdr:colOff>925286</xdr:colOff>
      <xdr:row>20</xdr:row>
      <xdr:rowOff>179613</xdr:rowOff>
    </xdr:to>
    <xdr:sp macro="" textlink="">
      <xdr:nvSpPr>
        <xdr:cNvPr id="3" name="Texto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572075" y="13378179"/>
          <a:ext cx="2058311" cy="258354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900" b="0" i="0" strike="noStrike">
              <a:solidFill>
                <a:srgbClr val="000000"/>
              </a:solidFill>
              <a:latin typeface="Arial"/>
              <a:cs typeface="Arial"/>
            </a:rPr>
            <a:t>Contratada</a:t>
          </a:r>
        </a:p>
      </xdr:txBody>
    </xdr:sp>
    <xdr:clientData/>
  </xdr:twoCellAnchor>
  <xdr:twoCellAnchor>
    <xdr:from>
      <xdr:col>4</xdr:col>
      <xdr:colOff>327107</xdr:colOff>
      <xdr:row>19</xdr:row>
      <xdr:rowOff>76199</xdr:rowOff>
    </xdr:from>
    <xdr:to>
      <xdr:col>9</xdr:col>
      <xdr:colOff>743032</xdr:colOff>
      <xdr:row>20</xdr:row>
      <xdr:rowOff>166913</xdr:rowOff>
    </xdr:to>
    <xdr:sp macro="" textlink="">
      <xdr:nvSpPr>
        <xdr:cNvPr id="4" name="Texto 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5577287" y="13365479"/>
          <a:ext cx="3159125" cy="258354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900" b="0" i="0" strike="noStrike">
              <a:solidFill>
                <a:srgbClr val="000000"/>
              </a:solidFill>
              <a:latin typeface="Arial"/>
              <a:cs typeface="Arial"/>
            </a:rPr>
            <a:t>Supervisor Execução -</a:t>
          </a:r>
          <a:r>
            <a:rPr lang="pt-BR" sz="900" b="0" i="0" strike="noStrike" baseline="0">
              <a:solidFill>
                <a:srgbClr val="000000"/>
              </a:solidFill>
              <a:latin typeface="Arial"/>
              <a:cs typeface="Arial"/>
            </a:rPr>
            <a:t> Contratante</a:t>
          </a:r>
        </a:p>
      </xdr:txBody>
    </xdr:sp>
    <xdr:clientData/>
  </xdr:twoCellAnchor>
  <xdr:twoCellAnchor>
    <xdr:from>
      <xdr:col>1</xdr:col>
      <xdr:colOff>424544</xdr:colOff>
      <xdr:row>19</xdr:row>
      <xdr:rowOff>93434</xdr:rowOff>
    </xdr:from>
    <xdr:to>
      <xdr:col>2</xdr:col>
      <xdr:colOff>1673306</xdr:colOff>
      <xdr:row>19</xdr:row>
      <xdr:rowOff>94793</xdr:rowOff>
    </xdr:to>
    <xdr:sp macro="" textlink="">
      <xdr:nvSpPr>
        <xdr:cNvPr id="5" name="Lin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ShapeType="1"/>
        </xdr:cNvSpPr>
      </xdr:nvSpPr>
      <xdr:spPr bwMode="auto">
        <a:xfrm flipH="1">
          <a:off x="996044" y="13382714"/>
          <a:ext cx="3382362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354240</xdr:colOff>
      <xdr:row>19</xdr:row>
      <xdr:rowOff>87084</xdr:rowOff>
    </xdr:from>
    <xdr:to>
      <xdr:col>9</xdr:col>
      <xdr:colOff>787027</xdr:colOff>
      <xdr:row>19</xdr:row>
      <xdr:rowOff>88443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H="1">
          <a:off x="5470526" y="4985655"/>
          <a:ext cx="6134180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1003298</xdr:colOff>
      <xdr:row>20</xdr:row>
      <xdr:rowOff>567865</xdr:rowOff>
    </xdr:from>
    <xdr:to>
      <xdr:col>2</xdr:col>
      <xdr:colOff>938864</xdr:colOff>
      <xdr:row>20</xdr:row>
      <xdr:rowOff>821865</xdr:rowOff>
    </xdr:to>
    <xdr:sp macro="" textlink="">
      <xdr:nvSpPr>
        <xdr:cNvPr id="7" name="Texto 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1574798" y="14024785"/>
          <a:ext cx="2069166" cy="254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1100" b="0" i="0" strike="noStrike">
              <a:solidFill>
                <a:srgbClr val="000000"/>
              </a:solidFill>
              <a:latin typeface="+mn-lt"/>
              <a:cs typeface="Arial"/>
            </a:rPr>
            <a:t>(Nome / Matrícula / Data)</a:t>
          </a:r>
        </a:p>
      </xdr:txBody>
    </xdr:sp>
    <xdr:clientData/>
  </xdr:twoCellAnchor>
  <xdr:twoCellAnchor>
    <xdr:from>
      <xdr:col>4</xdr:col>
      <xdr:colOff>329830</xdr:colOff>
      <xdr:row>20</xdr:row>
      <xdr:rowOff>555165</xdr:rowOff>
    </xdr:from>
    <xdr:to>
      <xdr:col>9</xdr:col>
      <xdr:colOff>745755</xdr:colOff>
      <xdr:row>20</xdr:row>
      <xdr:rowOff>809165</xdr:rowOff>
    </xdr:to>
    <xdr:sp macro="" textlink="">
      <xdr:nvSpPr>
        <xdr:cNvPr id="8" name="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5580010" y="14012085"/>
          <a:ext cx="3159125" cy="254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1100" b="0" i="0">
              <a:latin typeface="+mn-lt"/>
              <a:ea typeface="+mn-ea"/>
              <a:cs typeface="+mn-cs"/>
            </a:rPr>
            <a:t>(Nome / Matrícula / Data)</a:t>
          </a:r>
          <a:endParaRPr lang="pt-BR" sz="11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427267</xdr:colOff>
      <xdr:row>20</xdr:row>
      <xdr:rowOff>586007</xdr:rowOff>
    </xdr:from>
    <xdr:to>
      <xdr:col>2</xdr:col>
      <xdr:colOff>1676029</xdr:colOff>
      <xdr:row>20</xdr:row>
      <xdr:rowOff>587366</xdr:rowOff>
    </xdr:to>
    <xdr:sp macro="" textlink="">
      <xdr:nvSpPr>
        <xdr:cNvPr id="9" name="Line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ShapeType="1"/>
        </xdr:cNvSpPr>
      </xdr:nvSpPr>
      <xdr:spPr bwMode="auto">
        <a:xfrm flipH="1">
          <a:off x="998767" y="14042927"/>
          <a:ext cx="3382362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316142</xdr:colOff>
      <xdr:row>20</xdr:row>
      <xdr:rowOff>579657</xdr:rowOff>
    </xdr:from>
    <xdr:to>
      <xdr:col>9</xdr:col>
      <xdr:colOff>748929</xdr:colOff>
      <xdr:row>20</xdr:row>
      <xdr:rowOff>581016</xdr:rowOff>
    </xdr:to>
    <xdr:sp macro="" textlink="">
      <xdr:nvSpPr>
        <xdr:cNvPr id="10" name="Line 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ShapeType="1"/>
        </xdr:cNvSpPr>
      </xdr:nvSpPr>
      <xdr:spPr bwMode="auto">
        <a:xfrm flipH="1">
          <a:off x="5566322" y="14036577"/>
          <a:ext cx="3175987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382385</xdr:colOff>
          <xdr:row>2</xdr:row>
          <xdr:rowOff>0</xdr:rowOff>
        </xdr:from>
        <xdr:to>
          <xdr:col>14</xdr:col>
          <xdr:colOff>1055716</xdr:colOff>
          <xdr:row>3</xdr:row>
          <xdr:rowOff>0</xdr:rowOff>
        </xdr:to>
        <xdr:sp macro="" textlink="">
          <xdr:nvSpPr>
            <xdr:cNvPr id="17409" name="Option Button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1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507076</xdr:colOff>
          <xdr:row>1</xdr:row>
          <xdr:rowOff>232756</xdr:rowOff>
        </xdr:from>
        <xdr:to>
          <xdr:col>14</xdr:col>
          <xdr:colOff>49876</xdr:colOff>
          <xdr:row>3</xdr:row>
          <xdr:rowOff>8313</xdr:rowOff>
        </xdr:to>
        <xdr:sp macro="" textlink="">
          <xdr:nvSpPr>
            <xdr:cNvPr id="17410" name="Option Button 2" hidden="1">
              <a:extLst>
                <a:ext uri="{63B3BB69-23CF-44E3-9099-C40C66FF867C}">
                  <a14:compatExt spid="_x0000_s17410"/>
                </a:ext>
                <a:ext uri="{FF2B5EF4-FFF2-40B4-BE49-F238E27FC236}">
                  <a16:creationId xmlns:a16="http://schemas.microsoft.com/office/drawing/2014/main" id="{00000000-0008-0000-0100-000002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201706</xdr:colOff>
      <xdr:row>0</xdr:row>
      <xdr:rowOff>22411</xdr:rowOff>
    </xdr:from>
    <xdr:to>
      <xdr:col>1</xdr:col>
      <xdr:colOff>1852812</xdr:colOff>
      <xdr:row>0</xdr:row>
      <xdr:rowOff>769062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706" y="22411"/>
          <a:ext cx="2199746" cy="746651"/>
        </a:xfrm>
        <a:prstGeom prst="rect">
          <a:avLst/>
        </a:prstGeom>
      </xdr:spPr>
    </xdr:pic>
    <xdr:clientData/>
  </xdr:twoCellAnchor>
  <xdr:twoCellAnchor>
    <xdr:from>
      <xdr:col>1</xdr:col>
      <xdr:colOff>1000575</xdr:colOff>
      <xdr:row>19</xdr:row>
      <xdr:rowOff>88899</xdr:rowOff>
    </xdr:from>
    <xdr:to>
      <xdr:col>2</xdr:col>
      <xdr:colOff>925286</xdr:colOff>
      <xdr:row>20</xdr:row>
      <xdr:rowOff>179613</xdr:rowOff>
    </xdr:to>
    <xdr:sp macro="" textlink="">
      <xdr:nvSpPr>
        <xdr:cNvPr id="5" name="Texto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549215" y="5525423"/>
          <a:ext cx="1994580" cy="24865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900" b="0" i="0" strike="noStrike">
              <a:solidFill>
                <a:srgbClr val="000000"/>
              </a:solidFill>
              <a:latin typeface="Arial"/>
              <a:cs typeface="Arial"/>
            </a:rPr>
            <a:t>Contratada</a:t>
          </a:r>
        </a:p>
      </xdr:txBody>
    </xdr:sp>
    <xdr:clientData/>
  </xdr:twoCellAnchor>
  <xdr:twoCellAnchor>
    <xdr:from>
      <xdr:col>4</xdr:col>
      <xdr:colOff>327107</xdr:colOff>
      <xdr:row>19</xdr:row>
      <xdr:rowOff>76199</xdr:rowOff>
    </xdr:from>
    <xdr:to>
      <xdr:col>9</xdr:col>
      <xdr:colOff>743032</xdr:colOff>
      <xdr:row>20</xdr:row>
      <xdr:rowOff>166913</xdr:rowOff>
    </xdr:to>
    <xdr:sp macro="" textlink="">
      <xdr:nvSpPr>
        <xdr:cNvPr id="6" name="Texto 7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5422809" y="5512723"/>
          <a:ext cx="6110143" cy="24865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900" b="0" i="0" strike="noStrike">
              <a:solidFill>
                <a:srgbClr val="000000"/>
              </a:solidFill>
              <a:latin typeface="Arial"/>
              <a:cs typeface="Arial"/>
            </a:rPr>
            <a:t>Supervisor Execução -</a:t>
          </a:r>
          <a:r>
            <a:rPr lang="pt-BR" sz="900" b="0" i="0" strike="noStrike" baseline="0">
              <a:solidFill>
                <a:srgbClr val="000000"/>
              </a:solidFill>
              <a:latin typeface="Arial"/>
              <a:cs typeface="Arial"/>
            </a:rPr>
            <a:t> Contratante</a:t>
          </a:r>
        </a:p>
      </xdr:txBody>
    </xdr:sp>
    <xdr:clientData/>
  </xdr:twoCellAnchor>
  <xdr:twoCellAnchor>
    <xdr:from>
      <xdr:col>1</xdr:col>
      <xdr:colOff>424544</xdr:colOff>
      <xdr:row>19</xdr:row>
      <xdr:rowOff>93434</xdr:rowOff>
    </xdr:from>
    <xdr:to>
      <xdr:col>2</xdr:col>
      <xdr:colOff>1673306</xdr:colOff>
      <xdr:row>19</xdr:row>
      <xdr:rowOff>94793</xdr:rowOff>
    </xdr:to>
    <xdr:sp macro="" textlink="">
      <xdr:nvSpPr>
        <xdr:cNvPr id="7" name="Line 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ShapeType="1"/>
        </xdr:cNvSpPr>
      </xdr:nvSpPr>
      <xdr:spPr bwMode="auto">
        <a:xfrm flipH="1">
          <a:off x="973184" y="5529958"/>
          <a:ext cx="3318631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354240</xdr:colOff>
      <xdr:row>19</xdr:row>
      <xdr:rowOff>87084</xdr:rowOff>
    </xdr:from>
    <xdr:to>
      <xdr:col>9</xdr:col>
      <xdr:colOff>787027</xdr:colOff>
      <xdr:row>19</xdr:row>
      <xdr:rowOff>88443</xdr:rowOff>
    </xdr:to>
    <xdr:sp macro="" textlink="">
      <xdr:nvSpPr>
        <xdr:cNvPr id="8" name="Line 5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ShapeType="1"/>
        </xdr:cNvSpPr>
      </xdr:nvSpPr>
      <xdr:spPr bwMode="auto">
        <a:xfrm flipH="1">
          <a:off x="5449942" y="5523608"/>
          <a:ext cx="6127005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1003298</xdr:colOff>
      <xdr:row>20</xdr:row>
      <xdr:rowOff>567865</xdr:rowOff>
    </xdr:from>
    <xdr:to>
      <xdr:col>2</xdr:col>
      <xdr:colOff>938864</xdr:colOff>
      <xdr:row>20</xdr:row>
      <xdr:rowOff>821865</xdr:rowOff>
    </xdr:to>
    <xdr:sp macro="" textlink="">
      <xdr:nvSpPr>
        <xdr:cNvPr id="9" name="Texto 5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551938" y="6162330"/>
          <a:ext cx="2005435" cy="254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1100" b="0" i="0" strike="noStrike">
              <a:solidFill>
                <a:srgbClr val="000000"/>
              </a:solidFill>
              <a:latin typeface="+mn-lt"/>
              <a:cs typeface="Arial"/>
            </a:rPr>
            <a:t>(Nome / Matrícula / Data)</a:t>
          </a:r>
        </a:p>
      </xdr:txBody>
    </xdr:sp>
    <xdr:clientData/>
  </xdr:twoCellAnchor>
  <xdr:twoCellAnchor>
    <xdr:from>
      <xdr:col>4</xdr:col>
      <xdr:colOff>329830</xdr:colOff>
      <xdr:row>20</xdr:row>
      <xdr:rowOff>555165</xdr:rowOff>
    </xdr:from>
    <xdr:to>
      <xdr:col>9</xdr:col>
      <xdr:colOff>745755</xdr:colOff>
      <xdr:row>20</xdr:row>
      <xdr:rowOff>809165</xdr:rowOff>
    </xdr:to>
    <xdr:sp macro="" textlink="">
      <xdr:nvSpPr>
        <xdr:cNvPr id="10" name="Texto 7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5425532" y="6149630"/>
          <a:ext cx="6110143" cy="254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1100" b="0" i="0">
              <a:latin typeface="+mn-lt"/>
              <a:ea typeface="+mn-ea"/>
              <a:cs typeface="+mn-cs"/>
            </a:rPr>
            <a:t>(Nome / Matrícula / Data)</a:t>
          </a:r>
          <a:endParaRPr lang="pt-BR" sz="11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427267</xdr:colOff>
      <xdr:row>20</xdr:row>
      <xdr:rowOff>586007</xdr:rowOff>
    </xdr:from>
    <xdr:to>
      <xdr:col>2</xdr:col>
      <xdr:colOff>1676029</xdr:colOff>
      <xdr:row>20</xdr:row>
      <xdr:rowOff>587366</xdr:rowOff>
    </xdr:to>
    <xdr:sp macro="" textlink="">
      <xdr:nvSpPr>
        <xdr:cNvPr id="11" name="Line 5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ShapeType="1"/>
        </xdr:cNvSpPr>
      </xdr:nvSpPr>
      <xdr:spPr bwMode="auto">
        <a:xfrm flipH="1">
          <a:off x="975907" y="6180472"/>
          <a:ext cx="3318631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316142</xdr:colOff>
      <xdr:row>20</xdr:row>
      <xdr:rowOff>579657</xdr:rowOff>
    </xdr:from>
    <xdr:to>
      <xdr:col>9</xdr:col>
      <xdr:colOff>748929</xdr:colOff>
      <xdr:row>20</xdr:row>
      <xdr:rowOff>581016</xdr:rowOff>
    </xdr:to>
    <xdr:sp macro="" textlink="">
      <xdr:nvSpPr>
        <xdr:cNvPr id="12" name="Line 5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ShapeType="1"/>
        </xdr:cNvSpPr>
      </xdr:nvSpPr>
      <xdr:spPr bwMode="auto">
        <a:xfrm flipH="1">
          <a:off x="5411844" y="6174122"/>
          <a:ext cx="6127005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382385</xdr:colOff>
          <xdr:row>2</xdr:row>
          <xdr:rowOff>0</xdr:rowOff>
        </xdr:from>
        <xdr:to>
          <xdr:col>14</xdr:col>
          <xdr:colOff>1055716</xdr:colOff>
          <xdr:row>3</xdr:row>
          <xdr:rowOff>0</xdr:rowOff>
        </xdr:to>
        <xdr:sp macro="" textlink="">
          <xdr:nvSpPr>
            <xdr:cNvPr id="19457" name="Option Button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2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507076</xdr:colOff>
          <xdr:row>1</xdr:row>
          <xdr:rowOff>232756</xdr:rowOff>
        </xdr:from>
        <xdr:to>
          <xdr:col>14</xdr:col>
          <xdr:colOff>49876</xdr:colOff>
          <xdr:row>3</xdr:row>
          <xdr:rowOff>8313</xdr:rowOff>
        </xdr:to>
        <xdr:sp macro="" textlink="">
          <xdr:nvSpPr>
            <xdr:cNvPr id="19458" name="Option Button 2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id="{00000000-0008-0000-02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201706</xdr:colOff>
      <xdr:row>0</xdr:row>
      <xdr:rowOff>22411</xdr:rowOff>
    </xdr:from>
    <xdr:to>
      <xdr:col>1</xdr:col>
      <xdr:colOff>1852812</xdr:colOff>
      <xdr:row>0</xdr:row>
      <xdr:rowOff>769062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706" y="22411"/>
          <a:ext cx="2199746" cy="746651"/>
        </a:xfrm>
        <a:prstGeom prst="rect">
          <a:avLst/>
        </a:prstGeom>
      </xdr:spPr>
    </xdr:pic>
    <xdr:clientData/>
  </xdr:twoCellAnchor>
  <xdr:twoCellAnchor>
    <xdr:from>
      <xdr:col>1</xdr:col>
      <xdr:colOff>1000575</xdr:colOff>
      <xdr:row>19</xdr:row>
      <xdr:rowOff>88899</xdr:rowOff>
    </xdr:from>
    <xdr:to>
      <xdr:col>2</xdr:col>
      <xdr:colOff>925286</xdr:colOff>
      <xdr:row>20</xdr:row>
      <xdr:rowOff>179613</xdr:rowOff>
    </xdr:to>
    <xdr:sp macro="" textlink="">
      <xdr:nvSpPr>
        <xdr:cNvPr id="5" name="Texto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1549215" y="5525423"/>
          <a:ext cx="1994580" cy="24865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900" b="0" i="0" strike="noStrike">
              <a:solidFill>
                <a:srgbClr val="000000"/>
              </a:solidFill>
              <a:latin typeface="Arial"/>
              <a:cs typeface="Arial"/>
            </a:rPr>
            <a:t>Contratada</a:t>
          </a:r>
        </a:p>
      </xdr:txBody>
    </xdr:sp>
    <xdr:clientData/>
  </xdr:twoCellAnchor>
  <xdr:twoCellAnchor>
    <xdr:from>
      <xdr:col>4</xdr:col>
      <xdr:colOff>327107</xdr:colOff>
      <xdr:row>19</xdr:row>
      <xdr:rowOff>76199</xdr:rowOff>
    </xdr:from>
    <xdr:to>
      <xdr:col>9</xdr:col>
      <xdr:colOff>743032</xdr:colOff>
      <xdr:row>20</xdr:row>
      <xdr:rowOff>166913</xdr:rowOff>
    </xdr:to>
    <xdr:sp macro="" textlink="">
      <xdr:nvSpPr>
        <xdr:cNvPr id="6" name="Texto 7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>
          <a:spLocks noChangeArrowheads="1"/>
        </xdr:cNvSpPr>
      </xdr:nvSpPr>
      <xdr:spPr bwMode="auto">
        <a:xfrm>
          <a:off x="5422809" y="5512723"/>
          <a:ext cx="6110143" cy="24865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900" b="0" i="0" strike="noStrike">
              <a:solidFill>
                <a:srgbClr val="000000"/>
              </a:solidFill>
              <a:latin typeface="Arial"/>
              <a:cs typeface="Arial"/>
            </a:rPr>
            <a:t>Supervisor Execução -</a:t>
          </a:r>
          <a:r>
            <a:rPr lang="pt-BR" sz="900" b="0" i="0" strike="noStrike" baseline="0">
              <a:solidFill>
                <a:srgbClr val="000000"/>
              </a:solidFill>
              <a:latin typeface="Arial"/>
              <a:cs typeface="Arial"/>
            </a:rPr>
            <a:t> Contratante</a:t>
          </a:r>
        </a:p>
      </xdr:txBody>
    </xdr:sp>
    <xdr:clientData/>
  </xdr:twoCellAnchor>
  <xdr:twoCellAnchor>
    <xdr:from>
      <xdr:col>1</xdr:col>
      <xdr:colOff>424544</xdr:colOff>
      <xdr:row>19</xdr:row>
      <xdr:rowOff>93434</xdr:rowOff>
    </xdr:from>
    <xdr:to>
      <xdr:col>2</xdr:col>
      <xdr:colOff>1673306</xdr:colOff>
      <xdr:row>19</xdr:row>
      <xdr:rowOff>94793</xdr:rowOff>
    </xdr:to>
    <xdr:sp macro="" textlink="">
      <xdr:nvSpPr>
        <xdr:cNvPr id="7" name="Lin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ShapeType="1"/>
        </xdr:cNvSpPr>
      </xdr:nvSpPr>
      <xdr:spPr bwMode="auto">
        <a:xfrm flipH="1">
          <a:off x="973184" y="5529958"/>
          <a:ext cx="3318631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354240</xdr:colOff>
      <xdr:row>19</xdr:row>
      <xdr:rowOff>87084</xdr:rowOff>
    </xdr:from>
    <xdr:to>
      <xdr:col>9</xdr:col>
      <xdr:colOff>787027</xdr:colOff>
      <xdr:row>19</xdr:row>
      <xdr:rowOff>88443</xdr:rowOff>
    </xdr:to>
    <xdr:sp macro="" textlink="">
      <xdr:nvSpPr>
        <xdr:cNvPr id="8" name="Line 5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ShapeType="1"/>
        </xdr:cNvSpPr>
      </xdr:nvSpPr>
      <xdr:spPr bwMode="auto">
        <a:xfrm flipH="1">
          <a:off x="5449942" y="5523608"/>
          <a:ext cx="6127005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1003298</xdr:colOff>
      <xdr:row>20</xdr:row>
      <xdr:rowOff>567865</xdr:rowOff>
    </xdr:from>
    <xdr:to>
      <xdr:col>2</xdr:col>
      <xdr:colOff>938864</xdr:colOff>
      <xdr:row>20</xdr:row>
      <xdr:rowOff>821865</xdr:rowOff>
    </xdr:to>
    <xdr:sp macro="" textlink="">
      <xdr:nvSpPr>
        <xdr:cNvPr id="9" name="Texto 5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1551938" y="6162330"/>
          <a:ext cx="2005435" cy="254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1100" b="0" i="0" strike="noStrike">
              <a:solidFill>
                <a:srgbClr val="000000"/>
              </a:solidFill>
              <a:latin typeface="+mn-lt"/>
              <a:cs typeface="Arial"/>
            </a:rPr>
            <a:t>(Nome / Matrícula / Data)</a:t>
          </a:r>
        </a:p>
      </xdr:txBody>
    </xdr:sp>
    <xdr:clientData/>
  </xdr:twoCellAnchor>
  <xdr:twoCellAnchor>
    <xdr:from>
      <xdr:col>4</xdr:col>
      <xdr:colOff>329830</xdr:colOff>
      <xdr:row>20</xdr:row>
      <xdr:rowOff>555165</xdr:rowOff>
    </xdr:from>
    <xdr:to>
      <xdr:col>9</xdr:col>
      <xdr:colOff>745755</xdr:colOff>
      <xdr:row>20</xdr:row>
      <xdr:rowOff>809165</xdr:rowOff>
    </xdr:to>
    <xdr:sp macro="" textlink="">
      <xdr:nvSpPr>
        <xdr:cNvPr id="10" name="Texto 7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5425532" y="6149630"/>
          <a:ext cx="6110143" cy="254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1100" b="0" i="0">
              <a:latin typeface="+mn-lt"/>
              <a:ea typeface="+mn-ea"/>
              <a:cs typeface="+mn-cs"/>
            </a:rPr>
            <a:t>(Nome / Matrícula / Data)</a:t>
          </a:r>
          <a:endParaRPr lang="pt-BR" sz="11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427267</xdr:colOff>
      <xdr:row>20</xdr:row>
      <xdr:rowOff>586007</xdr:rowOff>
    </xdr:from>
    <xdr:to>
      <xdr:col>2</xdr:col>
      <xdr:colOff>1676029</xdr:colOff>
      <xdr:row>20</xdr:row>
      <xdr:rowOff>587366</xdr:rowOff>
    </xdr:to>
    <xdr:sp macro="" textlink="">
      <xdr:nvSpPr>
        <xdr:cNvPr id="11" name="Line 5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ShapeType="1"/>
        </xdr:cNvSpPr>
      </xdr:nvSpPr>
      <xdr:spPr bwMode="auto">
        <a:xfrm flipH="1">
          <a:off x="975907" y="6180472"/>
          <a:ext cx="3318631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316142</xdr:colOff>
      <xdr:row>20</xdr:row>
      <xdr:rowOff>579657</xdr:rowOff>
    </xdr:from>
    <xdr:to>
      <xdr:col>9</xdr:col>
      <xdr:colOff>748929</xdr:colOff>
      <xdr:row>20</xdr:row>
      <xdr:rowOff>581016</xdr:rowOff>
    </xdr:to>
    <xdr:sp macro="" textlink="">
      <xdr:nvSpPr>
        <xdr:cNvPr id="12" name="Line 5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 bwMode="auto">
        <a:xfrm flipH="1">
          <a:off x="5411844" y="6174122"/>
          <a:ext cx="6127005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382385</xdr:colOff>
          <xdr:row>2</xdr:row>
          <xdr:rowOff>0</xdr:rowOff>
        </xdr:from>
        <xdr:to>
          <xdr:col>14</xdr:col>
          <xdr:colOff>1055716</xdr:colOff>
          <xdr:row>3</xdr:row>
          <xdr:rowOff>0</xdr:rowOff>
        </xdr:to>
        <xdr:sp macro="" textlink="">
          <xdr:nvSpPr>
            <xdr:cNvPr id="20481" name="Option Button 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CA8606E0-DC8C-4C32-B264-8D2356A05D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507076</xdr:colOff>
          <xdr:row>1</xdr:row>
          <xdr:rowOff>232756</xdr:rowOff>
        </xdr:from>
        <xdr:to>
          <xdr:col>14</xdr:col>
          <xdr:colOff>49876</xdr:colOff>
          <xdr:row>3</xdr:row>
          <xdr:rowOff>8313</xdr:rowOff>
        </xdr:to>
        <xdr:sp macro="" textlink="">
          <xdr:nvSpPr>
            <xdr:cNvPr id="20482" name="Option Button 2" hidden="1">
              <a:extLst>
                <a:ext uri="{63B3BB69-23CF-44E3-9099-C40C66FF867C}">
                  <a14:compatExt spid="_x0000_s20482"/>
                </a:ext>
                <a:ext uri="{FF2B5EF4-FFF2-40B4-BE49-F238E27FC236}">
                  <a16:creationId xmlns:a16="http://schemas.microsoft.com/office/drawing/2014/main" id="{0C24ECC7-6A38-4FD0-A01A-790ECAB36D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201706</xdr:colOff>
      <xdr:row>0</xdr:row>
      <xdr:rowOff>22411</xdr:rowOff>
    </xdr:from>
    <xdr:to>
      <xdr:col>1</xdr:col>
      <xdr:colOff>1852812</xdr:colOff>
      <xdr:row>0</xdr:row>
      <xdr:rowOff>769062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3D15392-755B-44DB-AB97-37A4E676F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706" y="22411"/>
          <a:ext cx="2199746" cy="746651"/>
        </a:xfrm>
        <a:prstGeom prst="rect">
          <a:avLst/>
        </a:prstGeom>
      </xdr:spPr>
    </xdr:pic>
    <xdr:clientData/>
  </xdr:twoCellAnchor>
  <xdr:twoCellAnchor>
    <xdr:from>
      <xdr:col>1</xdr:col>
      <xdr:colOff>1000575</xdr:colOff>
      <xdr:row>19</xdr:row>
      <xdr:rowOff>88899</xdr:rowOff>
    </xdr:from>
    <xdr:to>
      <xdr:col>2</xdr:col>
      <xdr:colOff>925286</xdr:colOff>
      <xdr:row>20</xdr:row>
      <xdr:rowOff>179613</xdr:rowOff>
    </xdr:to>
    <xdr:sp macro="" textlink="">
      <xdr:nvSpPr>
        <xdr:cNvPr id="5" name="Texto 5">
          <a:extLst>
            <a:ext uri="{FF2B5EF4-FFF2-40B4-BE49-F238E27FC236}">
              <a16:creationId xmlns:a16="http://schemas.microsoft.com/office/drawing/2014/main" id="{F294D174-CE59-48AC-B77D-089937DE65BA}"/>
            </a:ext>
          </a:extLst>
        </xdr:cNvPr>
        <xdr:cNvSpPr txBox="1">
          <a:spLocks noChangeArrowheads="1"/>
        </xdr:cNvSpPr>
      </xdr:nvSpPr>
      <xdr:spPr bwMode="auto">
        <a:xfrm>
          <a:off x="1549215" y="5525423"/>
          <a:ext cx="1994580" cy="24865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900" b="0" i="0" strike="noStrike">
              <a:solidFill>
                <a:srgbClr val="000000"/>
              </a:solidFill>
              <a:latin typeface="Arial"/>
              <a:cs typeface="Arial"/>
            </a:rPr>
            <a:t>Contratada</a:t>
          </a:r>
        </a:p>
      </xdr:txBody>
    </xdr:sp>
    <xdr:clientData/>
  </xdr:twoCellAnchor>
  <xdr:twoCellAnchor>
    <xdr:from>
      <xdr:col>4</xdr:col>
      <xdr:colOff>327107</xdr:colOff>
      <xdr:row>19</xdr:row>
      <xdr:rowOff>76199</xdr:rowOff>
    </xdr:from>
    <xdr:to>
      <xdr:col>9</xdr:col>
      <xdr:colOff>743032</xdr:colOff>
      <xdr:row>20</xdr:row>
      <xdr:rowOff>166913</xdr:rowOff>
    </xdr:to>
    <xdr:sp macro="" textlink="">
      <xdr:nvSpPr>
        <xdr:cNvPr id="6" name="Texto 7">
          <a:extLst>
            <a:ext uri="{FF2B5EF4-FFF2-40B4-BE49-F238E27FC236}">
              <a16:creationId xmlns:a16="http://schemas.microsoft.com/office/drawing/2014/main" id="{5366124D-24E5-4E31-A00C-06AF95882FE1}"/>
            </a:ext>
          </a:extLst>
        </xdr:cNvPr>
        <xdr:cNvSpPr txBox="1">
          <a:spLocks noChangeArrowheads="1"/>
        </xdr:cNvSpPr>
      </xdr:nvSpPr>
      <xdr:spPr bwMode="auto">
        <a:xfrm>
          <a:off x="5422809" y="5512723"/>
          <a:ext cx="6110143" cy="24865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900" b="0" i="0" strike="noStrike">
              <a:solidFill>
                <a:srgbClr val="000000"/>
              </a:solidFill>
              <a:latin typeface="Arial"/>
              <a:cs typeface="Arial"/>
            </a:rPr>
            <a:t>Supervisor Execução -</a:t>
          </a:r>
          <a:r>
            <a:rPr lang="pt-BR" sz="900" b="0" i="0" strike="noStrike" baseline="0">
              <a:solidFill>
                <a:srgbClr val="000000"/>
              </a:solidFill>
              <a:latin typeface="Arial"/>
              <a:cs typeface="Arial"/>
            </a:rPr>
            <a:t> Contratante</a:t>
          </a:r>
        </a:p>
      </xdr:txBody>
    </xdr:sp>
    <xdr:clientData/>
  </xdr:twoCellAnchor>
  <xdr:twoCellAnchor>
    <xdr:from>
      <xdr:col>1</xdr:col>
      <xdr:colOff>424544</xdr:colOff>
      <xdr:row>19</xdr:row>
      <xdr:rowOff>93434</xdr:rowOff>
    </xdr:from>
    <xdr:to>
      <xdr:col>2</xdr:col>
      <xdr:colOff>1673306</xdr:colOff>
      <xdr:row>19</xdr:row>
      <xdr:rowOff>94793</xdr:rowOff>
    </xdr:to>
    <xdr:sp macro="" textlink="">
      <xdr:nvSpPr>
        <xdr:cNvPr id="7" name="Line 5">
          <a:extLst>
            <a:ext uri="{FF2B5EF4-FFF2-40B4-BE49-F238E27FC236}">
              <a16:creationId xmlns:a16="http://schemas.microsoft.com/office/drawing/2014/main" id="{8269A51E-CE84-4DD4-A14B-5846A7E0EC01}"/>
            </a:ext>
          </a:extLst>
        </xdr:cNvPr>
        <xdr:cNvSpPr>
          <a:spLocks noChangeShapeType="1"/>
        </xdr:cNvSpPr>
      </xdr:nvSpPr>
      <xdr:spPr bwMode="auto">
        <a:xfrm flipH="1">
          <a:off x="973184" y="5529958"/>
          <a:ext cx="3318631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354240</xdr:colOff>
      <xdr:row>19</xdr:row>
      <xdr:rowOff>87084</xdr:rowOff>
    </xdr:from>
    <xdr:to>
      <xdr:col>9</xdr:col>
      <xdr:colOff>787027</xdr:colOff>
      <xdr:row>19</xdr:row>
      <xdr:rowOff>88443</xdr:rowOff>
    </xdr:to>
    <xdr:sp macro="" textlink="">
      <xdr:nvSpPr>
        <xdr:cNvPr id="8" name="Line 5">
          <a:extLst>
            <a:ext uri="{FF2B5EF4-FFF2-40B4-BE49-F238E27FC236}">
              <a16:creationId xmlns:a16="http://schemas.microsoft.com/office/drawing/2014/main" id="{C39079AE-3833-4DF1-800C-5D90898D3381}"/>
            </a:ext>
          </a:extLst>
        </xdr:cNvPr>
        <xdr:cNvSpPr>
          <a:spLocks noChangeShapeType="1"/>
        </xdr:cNvSpPr>
      </xdr:nvSpPr>
      <xdr:spPr bwMode="auto">
        <a:xfrm flipH="1">
          <a:off x="5449942" y="5523608"/>
          <a:ext cx="6127005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1003298</xdr:colOff>
      <xdr:row>20</xdr:row>
      <xdr:rowOff>567865</xdr:rowOff>
    </xdr:from>
    <xdr:to>
      <xdr:col>2</xdr:col>
      <xdr:colOff>938864</xdr:colOff>
      <xdr:row>20</xdr:row>
      <xdr:rowOff>821865</xdr:rowOff>
    </xdr:to>
    <xdr:sp macro="" textlink="">
      <xdr:nvSpPr>
        <xdr:cNvPr id="9" name="Texto 5">
          <a:extLst>
            <a:ext uri="{FF2B5EF4-FFF2-40B4-BE49-F238E27FC236}">
              <a16:creationId xmlns:a16="http://schemas.microsoft.com/office/drawing/2014/main" id="{B2AB2331-72FD-46D3-85D3-6319289AB5E9}"/>
            </a:ext>
          </a:extLst>
        </xdr:cNvPr>
        <xdr:cNvSpPr txBox="1">
          <a:spLocks noChangeArrowheads="1"/>
        </xdr:cNvSpPr>
      </xdr:nvSpPr>
      <xdr:spPr bwMode="auto">
        <a:xfrm>
          <a:off x="1551938" y="6162330"/>
          <a:ext cx="2005435" cy="254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1100" b="0" i="0" strike="noStrike">
              <a:solidFill>
                <a:srgbClr val="000000"/>
              </a:solidFill>
              <a:latin typeface="+mn-lt"/>
              <a:cs typeface="Arial"/>
            </a:rPr>
            <a:t>(Nome / Matrícula / Data)</a:t>
          </a:r>
        </a:p>
      </xdr:txBody>
    </xdr:sp>
    <xdr:clientData/>
  </xdr:twoCellAnchor>
  <xdr:twoCellAnchor>
    <xdr:from>
      <xdr:col>4</xdr:col>
      <xdr:colOff>329830</xdr:colOff>
      <xdr:row>20</xdr:row>
      <xdr:rowOff>555165</xdr:rowOff>
    </xdr:from>
    <xdr:to>
      <xdr:col>9</xdr:col>
      <xdr:colOff>745755</xdr:colOff>
      <xdr:row>20</xdr:row>
      <xdr:rowOff>809165</xdr:rowOff>
    </xdr:to>
    <xdr:sp macro="" textlink="">
      <xdr:nvSpPr>
        <xdr:cNvPr id="10" name="Texto 7">
          <a:extLst>
            <a:ext uri="{FF2B5EF4-FFF2-40B4-BE49-F238E27FC236}">
              <a16:creationId xmlns:a16="http://schemas.microsoft.com/office/drawing/2014/main" id="{2FF0EF0C-F8D1-4110-ABA2-08C1512ADF3E}"/>
            </a:ext>
          </a:extLst>
        </xdr:cNvPr>
        <xdr:cNvSpPr txBox="1">
          <a:spLocks noChangeArrowheads="1"/>
        </xdr:cNvSpPr>
      </xdr:nvSpPr>
      <xdr:spPr bwMode="auto">
        <a:xfrm>
          <a:off x="5425532" y="6149630"/>
          <a:ext cx="6110143" cy="254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1100" b="0" i="0">
              <a:latin typeface="+mn-lt"/>
              <a:ea typeface="+mn-ea"/>
              <a:cs typeface="+mn-cs"/>
            </a:rPr>
            <a:t>(Nome / Matrícula / Data)</a:t>
          </a:r>
          <a:endParaRPr lang="pt-BR" sz="11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427267</xdr:colOff>
      <xdr:row>20</xdr:row>
      <xdr:rowOff>586007</xdr:rowOff>
    </xdr:from>
    <xdr:to>
      <xdr:col>2</xdr:col>
      <xdr:colOff>1676029</xdr:colOff>
      <xdr:row>20</xdr:row>
      <xdr:rowOff>587366</xdr:rowOff>
    </xdr:to>
    <xdr:sp macro="" textlink="">
      <xdr:nvSpPr>
        <xdr:cNvPr id="11" name="Line 5">
          <a:extLst>
            <a:ext uri="{FF2B5EF4-FFF2-40B4-BE49-F238E27FC236}">
              <a16:creationId xmlns:a16="http://schemas.microsoft.com/office/drawing/2014/main" id="{6FB48B26-D88F-456E-B467-A2863272A9DF}"/>
            </a:ext>
          </a:extLst>
        </xdr:cNvPr>
        <xdr:cNvSpPr>
          <a:spLocks noChangeShapeType="1"/>
        </xdr:cNvSpPr>
      </xdr:nvSpPr>
      <xdr:spPr bwMode="auto">
        <a:xfrm flipH="1">
          <a:off x="975907" y="6180472"/>
          <a:ext cx="3318631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316142</xdr:colOff>
      <xdr:row>20</xdr:row>
      <xdr:rowOff>579657</xdr:rowOff>
    </xdr:from>
    <xdr:to>
      <xdr:col>9</xdr:col>
      <xdr:colOff>748929</xdr:colOff>
      <xdr:row>20</xdr:row>
      <xdr:rowOff>581016</xdr:rowOff>
    </xdr:to>
    <xdr:sp macro="" textlink="">
      <xdr:nvSpPr>
        <xdr:cNvPr id="12" name="Line 5">
          <a:extLst>
            <a:ext uri="{FF2B5EF4-FFF2-40B4-BE49-F238E27FC236}">
              <a16:creationId xmlns:a16="http://schemas.microsoft.com/office/drawing/2014/main" id="{03DEF239-5843-490A-8A61-76B5BECFD8BD}"/>
            </a:ext>
          </a:extLst>
        </xdr:cNvPr>
        <xdr:cNvSpPr>
          <a:spLocks noChangeShapeType="1"/>
        </xdr:cNvSpPr>
      </xdr:nvSpPr>
      <xdr:spPr bwMode="auto">
        <a:xfrm flipH="1">
          <a:off x="5411844" y="6174122"/>
          <a:ext cx="6127005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2.xml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mments" Target="../comments3.xml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mments" Target="../comments4.xml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C1E6B-DE6D-40D3-8C62-DBA5B2CF00BF}">
  <dimension ref="A1:Q38"/>
  <sheetViews>
    <sheetView showGridLines="0" zoomScale="70" zoomScaleNormal="70" zoomScaleSheetLayoutView="70" zoomScalePageLayoutView="50" workbookViewId="0">
      <selection activeCell="G6" sqref="G6:L6"/>
    </sheetView>
  </sheetViews>
  <sheetFormatPr defaultRowHeight="12.45" x14ac:dyDescent="0.2"/>
  <cols>
    <col min="1" max="1" width="8.25" customWidth="1"/>
    <col min="2" max="2" width="31.125" customWidth="1"/>
    <col min="3" max="3" width="29.625" customWidth="1"/>
    <col min="4" max="5" width="7.625" customWidth="1"/>
    <col min="6" max="6" width="24.625" customWidth="1"/>
    <col min="7" max="7" width="21" customWidth="1"/>
    <col min="8" max="8" width="11" customWidth="1"/>
    <col min="9" max="9" width="21.375" customWidth="1"/>
    <col min="10" max="10" width="14" customWidth="1"/>
    <col min="11" max="11" width="26.125" customWidth="1"/>
    <col min="12" max="12" width="12.625" customWidth="1"/>
    <col min="13" max="13" width="24.875" customWidth="1"/>
    <col min="14" max="14" width="16.125" bestFit="1" customWidth="1"/>
    <col min="15" max="15" width="26" bestFit="1" customWidth="1"/>
    <col min="17" max="17" width="10" bestFit="1" customWidth="1"/>
  </cols>
  <sheetData>
    <row r="1" spans="1:17" ht="64.5" customHeight="1" thickBot="1" x14ac:dyDescent="0.25">
      <c r="A1" s="81" t="s">
        <v>11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3"/>
    </row>
    <row r="2" spans="1:17" ht="20.149999999999999" customHeight="1" x14ac:dyDescent="0.2">
      <c r="A2" s="84" t="s">
        <v>61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</row>
    <row r="3" spans="1:17" ht="20.149999999999999" customHeight="1" x14ac:dyDescent="0.2">
      <c r="A3" s="87" t="s">
        <v>0</v>
      </c>
      <c r="B3" s="88"/>
      <c r="C3" s="89" t="s">
        <v>54</v>
      </c>
      <c r="D3" s="89"/>
      <c r="E3" s="89"/>
      <c r="F3" s="15" t="s">
        <v>1</v>
      </c>
      <c r="G3" s="90" t="s">
        <v>60</v>
      </c>
      <c r="H3" s="91"/>
      <c r="I3" s="91"/>
      <c r="J3" s="91"/>
      <c r="K3" s="91"/>
      <c r="L3" s="92"/>
      <c r="M3" s="18" t="s">
        <v>19</v>
      </c>
      <c r="N3" s="93"/>
      <c r="O3" s="94"/>
    </row>
    <row r="4" spans="1:17" ht="20.149999999999999" customHeight="1" x14ac:dyDescent="0.2">
      <c r="A4" s="95" t="s">
        <v>23</v>
      </c>
      <c r="B4" s="96"/>
      <c r="C4" s="97" t="s">
        <v>59</v>
      </c>
      <c r="D4" s="97"/>
      <c r="E4" s="97"/>
      <c r="F4" s="15"/>
      <c r="G4" s="98"/>
      <c r="H4" s="98"/>
      <c r="I4" s="98"/>
      <c r="J4" s="98"/>
      <c r="K4" s="98"/>
      <c r="L4" s="98"/>
      <c r="M4" s="18" t="s">
        <v>18</v>
      </c>
      <c r="N4" s="99">
        <v>0</v>
      </c>
      <c r="O4" s="94"/>
    </row>
    <row r="5" spans="1:17" ht="20.149999999999999" customHeight="1" x14ac:dyDescent="0.2">
      <c r="A5" s="95" t="s">
        <v>55</v>
      </c>
      <c r="B5" s="96"/>
      <c r="C5" s="97">
        <v>4509922973</v>
      </c>
      <c r="D5" s="97"/>
      <c r="E5" s="97"/>
      <c r="F5" s="16" t="s">
        <v>12</v>
      </c>
      <c r="G5" s="100" t="s">
        <v>70</v>
      </c>
      <c r="H5" s="100"/>
      <c r="I5" s="100"/>
      <c r="J5" s="100"/>
      <c r="K5" s="100"/>
      <c r="L5" s="100"/>
      <c r="M5" s="18" t="s">
        <v>2</v>
      </c>
      <c r="N5" s="101">
        <v>46042</v>
      </c>
      <c r="O5" s="94"/>
    </row>
    <row r="6" spans="1:17" ht="20.149999999999999" customHeight="1" thickBot="1" x14ac:dyDescent="0.25">
      <c r="A6" s="104" t="s">
        <v>56</v>
      </c>
      <c r="B6" s="105"/>
      <c r="C6" s="106">
        <v>1390000</v>
      </c>
      <c r="D6" s="107"/>
      <c r="E6" s="107"/>
      <c r="F6" s="17" t="s">
        <v>24</v>
      </c>
      <c r="G6" s="108" t="s">
        <v>58</v>
      </c>
      <c r="H6" s="109"/>
      <c r="I6" s="109"/>
      <c r="J6" s="109"/>
      <c r="K6" s="109"/>
      <c r="L6" s="110"/>
      <c r="M6" s="19" t="s">
        <v>13</v>
      </c>
      <c r="N6" s="111" t="s">
        <v>62</v>
      </c>
      <c r="O6" s="112"/>
    </row>
    <row r="7" spans="1:17" s="1" customFormat="1" ht="24.05" customHeight="1" x14ac:dyDescent="0.25">
      <c r="A7" s="113" t="s">
        <v>5</v>
      </c>
      <c r="B7" s="115" t="s">
        <v>6</v>
      </c>
      <c r="C7" s="116"/>
      <c r="D7" s="119" t="s">
        <v>7</v>
      </c>
      <c r="E7" s="121" t="s">
        <v>8</v>
      </c>
      <c r="F7" s="119" t="s">
        <v>20</v>
      </c>
      <c r="G7" s="123" t="s">
        <v>21</v>
      </c>
      <c r="H7" s="126" t="s">
        <v>14</v>
      </c>
      <c r="I7" s="127"/>
      <c r="J7" s="128" t="s">
        <v>15</v>
      </c>
      <c r="K7" s="128"/>
      <c r="L7" s="129" t="s">
        <v>17</v>
      </c>
      <c r="M7" s="103"/>
      <c r="N7" s="102" t="s">
        <v>4</v>
      </c>
      <c r="O7" s="103"/>
    </row>
    <row r="8" spans="1:17" s="1" customFormat="1" ht="15.05" customHeight="1" thickBot="1" x14ac:dyDescent="0.3">
      <c r="A8" s="114"/>
      <c r="B8" s="117"/>
      <c r="C8" s="118"/>
      <c r="D8" s="120"/>
      <c r="E8" s="122"/>
      <c r="F8" s="120"/>
      <c r="G8" s="124"/>
      <c r="H8" s="34" t="s">
        <v>7</v>
      </c>
      <c r="I8" s="35" t="s">
        <v>9</v>
      </c>
      <c r="J8" s="36" t="s">
        <v>7</v>
      </c>
      <c r="K8" s="37" t="s">
        <v>3</v>
      </c>
      <c r="L8" s="34" t="s">
        <v>7</v>
      </c>
      <c r="M8" s="35" t="s">
        <v>3</v>
      </c>
      <c r="N8" s="38" t="s">
        <v>7</v>
      </c>
      <c r="O8" s="39" t="s">
        <v>9</v>
      </c>
    </row>
    <row r="9" spans="1:17" s="3" customFormat="1" ht="20" customHeight="1" x14ac:dyDescent="0.2">
      <c r="A9" s="52">
        <v>0</v>
      </c>
      <c r="B9" s="130" t="s">
        <v>68</v>
      </c>
      <c r="C9" s="130"/>
      <c r="D9" s="58">
        <v>1</v>
      </c>
      <c r="E9" s="53" t="s">
        <v>52</v>
      </c>
      <c r="F9" s="59">
        <f>C6*0.1</f>
        <v>139000</v>
      </c>
      <c r="G9" s="59">
        <f t="shared" ref="G9" si="0">F9*D9</f>
        <v>139000</v>
      </c>
      <c r="H9" s="60"/>
      <c r="I9" s="61">
        <f t="shared" ref="I9" si="1">H9*G9</f>
        <v>0</v>
      </c>
      <c r="J9" s="62">
        <v>1</v>
      </c>
      <c r="K9" s="63">
        <f>J9*F9*D9</f>
        <v>139000</v>
      </c>
      <c r="L9" s="60">
        <f t="shared" ref="L9" si="2">J9+H9</f>
        <v>1</v>
      </c>
      <c r="M9" s="61">
        <f t="shared" ref="M9" si="3">K9+I9</f>
        <v>139000</v>
      </c>
      <c r="N9" s="62">
        <f t="shared" ref="N9" si="4">D9/D9-L9</f>
        <v>0</v>
      </c>
      <c r="O9" s="54">
        <f t="shared" ref="O9" si="5">N9*G9</f>
        <v>0</v>
      </c>
      <c r="Q9" s="50"/>
    </row>
    <row r="10" spans="1:17" s="3" customFormat="1" ht="20" customHeight="1" x14ac:dyDescent="0.2">
      <c r="A10" s="51">
        <v>1</v>
      </c>
      <c r="B10" s="125" t="s">
        <v>53</v>
      </c>
      <c r="C10" s="125"/>
      <c r="D10" s="64">
        <v>1</v>
      </c>
      <c r="E10" s="20" t="s">
        <v>52</v>
      </c>
      <c r="F10" s="65">
        <v>131400</v>
      </c>
      <c r="G10" s="65">
        <f t="shared" ref="G10:G15" si="6">F10*D10</f>
        <v>131400</v>
      </c>
      <c r="H10" s="66"/>
      <c r="I10" s="67">
        <f t="shared" ref="I10:I15" si="7">H10*G10</f>
        <v>0</v>
      </c>
      <c r="J10" s="68"/>
      <c r="K10" s="69">
        <f>J10*F10*D10</f>
        <v>0</v>
      </c>
      <c r="L10" s="66">
        <f t="shared" ref="L10:M15" si="8">J10+H10</f>
        <v>0</v>
      </c>
      <c r="M10" s="67">
        <f t="shared" si="8"/>
        <v>0</v>
      </c>
      <c r="N10" s="68">
        <f t="shared" ref="N10:N12" si="9">D10/D10-L10</f>
        <v>1</v>
      </c>
      <c r="O10" s="46">
        <f t="shared" ref="O10:O12" si="10">N10*G10</f>
        <v>131400</v>
      </c>
      <c r="Q10" s="50"/>
    </row>
    <row r="11" spans="1:17" s="3" customFormat="1" ht="20" customHeight="1" x14ac:dyDescent="0.2">
      <c r="A11" s="51">
        <v>2</v>
      </c>
      <c r="B11" s="125" t="s">
        <v>64</v>
      </c>
      <c r="C11" s="125"/>
      <c r="D11" s="64">
        <v>1</v>
      </c>
      <c r="E11" s="20" t="s">
        <v>52</v>
      </c>
      <c r="F11" s="65">
        <v>354033</v>
      </c>
      <c r="G11" s="65">
        <f t="shared" si="6"/>
        <v>354033</v>
      </c>
      <c r="H11" s="66"/>
      <c r="I11" s="67">
        <f t="shared" si="7"/>
        <v>0</v>
      </c>
      <c r="J11" s="68"/>
      <c r="K11" s="69">
        <f t="shared" ref="K11:K12" si="11">J11*F11*D11</f>
        <v>0</v>
      </c>
      <c r="L11" s="66">
        <f t="shared" si="8"/>
        <v>0</v>
      </c>
      <c r="M11" s="67">
        <f t="shared" si="8"/>
        <v>0</v>
      </c>
      <c r="N11" s="68">
        <f t="shared" si="9"/>
        <v>1</v>
      </c>
      <c r="O11" s="46">
        <f t="shared" si="10"/>
        <v>354033</v>
      </c>
      <c r="Q11" s="50"/>
    </row>
    <row r="12" spans="1:17" s="3" customFormat="1" ht="20" customHeight="1" x14ac:dyDescent="0.2">
      <c r="A12" s="51">
        <v>3</v>
      </c>
      <c r="B12" s="125" t="s">
        <v>67</v>
      </c>
      <c r="C12" s="125"/>
      <c r="D12" s="64">
        <v>1</v>
      </c>
      <c r="E12" s="20" t="s">
        <v>52</v>
      </c>
      <c r="F12" s="65">
        <v>262948.5</v>
      </c>
      <c r="G12" s="65">
        <f t="shared" si="6"/>
        <v>262948.5</v>
      </c>
      <c r="H12" s="66"/>
      <c r="I12" s="67">
        <f t="shared" si="7"/>
        <v>0</v>
      </c>
      <c r="J12" s="68"/>
      <c r="K12" s="69">
        <f t="shared" si="11"/>
        <v>0</v>
      </c>
      <c r="L12" s="66">
        <f t="shared" si="8"/>
        <v>0</v>
      </c>
      <c r="M12" s="67">
        <f t="shared" si="8"/>
        <v>0</v>
      </c>
      <c r="N12" s="68">
        <f t="shared" si="9"/>
        <v>1</v>
      </c>
      <c r="O12" s="46">
        <f t="shared" si="10"/>
        <v>262948.5</v>
      </c>
      <c r="Q12" s="50"/>
    </row>
    <row r="13" spans="1:17" s="3" customFormat="1" ht="20" customHeight="1" x14ac:dyDescent="0.2">
      <c r="A13" s="51">
        <v>4</v>
      </c>
      <c r="B13" s="125" t="s">
        <v>65</v>
      </c>
      <c r="C13" s="125"/>
      <c r="D13" s="64">
        <v>1</v>
      </c>
      <c r="E13" s="20" t="s">
        <v>52</v>
      </c>
      <c r="F13" s="65">
        <v>275467.5</v>
      </c>
      <c r="G13" s="65">
        <f t="shared" si="6"/>
        <v>275467.5</v>
      </c>
      <c r="H13" s="66"/>
      <c r="I13" s="67">
        <f t="shared" si="7"/>
        <v>0</v>
      </c>
      <c r="J13" s="68"/>
      <c r="K13" s="69">
        <f>J13*F13*D13</f>
        <v>0</v>
      </c>
      <c r="L13" s="66">
        <f t="shared" si="8"/>
        <v>0</v>
      </c>
      <c r="M13" s="67">
        <f>K13+I13</f>
        <v>0</v>
      </c>
      <c r="N13" s="68">
        <f>D13/D13-L13</f>
        <v>1</v>
      </c>
      <c r="O13" s="46">
        <f>N13*G13</f>
        <v>275467.5</v>
      </c>
      <c r="Q13" s="50"/>
    </row>
    <row r="14" spans="1:17" s="3" customFormat="1" ht="20" customHeight="1" x14ac:dyDescent="0.2">
      <c r="A14" s="51">
        <v>5</v>
      </c>
      <c r="B14" s="125" t="s">
        <v>66</v>
      </c>
      <c r="C14" s="125"/>
      <c r="D14" s="64">
        <v>1</v>
      </c>
      <c r="E14" s="20" t="s">
        <v>52</v>
      </c>
      <c r="F14" s="65">
        <v>217570.5</v>
      </c>
      <c r="G14" s="65">
        <f t="shared" ref="G14" si="12">F14*D14</f>
        <v>217570.5</v>
      </c>
      <c r="H14" s="66"/>
      <c r="I14" s="67">
        <f t="shared" ref="I14" si="13">H14*G14</f>
        <v>0</v>
      </c>
      <c r="J14" s="68"/>
      <c r="K14" s="69">
        <f>J14*F14*D14</f>
        <v>0</v>
      </c>
      <c r="L14" s="66">
        <f t="shared" ref="L14" si="14">J14+H14</f>
        <v>0</v>
      </c>
      <c r="M14" s="67">
        <f t="shared" ref="M14" si="15">K14+I14</f>
        <v>0</v>
      </c>
      <c r="N14" s="68">
        <f t="shared" ref="N14" si="16">D14/D14-L14</f>
        <v>1</v>
      </c>
      <c r="O14" s="46">
        <f t="shared" ref="O14" si="17">N14*G14</f>
        <v>217570.5</v>
      </c>
      <c r="Q14" s="50"/>
    </row>
    <row r="15" spans="1:17" s="3" customFormat="1" ht="20" customHeight="1" thickBot="1" x14ac:dyDescent="0.25">
      <c r="A15" s="55">
        <v>6</v>
      </c>
      <c r="B15" s="137" t="s">
        <v>63</v>
      </c>
      <c r="C15" s="137"/>
      <c r="D15" s="70">
        <v>1</v>
      </c>
      <c r="E15" s="47" t="s">
        <v>52</v>
      </c>
      <c r="F15" s="71">
        <v>9580.5</v>
      </c>
      <c r="G15" s="71">
        <f t="shared" si="6"/>
        <v>9580.5</v>
      </c>
      <c r="H15" s="72"/>
      <c r="I15" s="73">
        <f t="shared" si="7"/>
        <v>0</v>
      </c>
      <c r="J15" s="74"/>
      <c r="K15" s="75">
        <f>J15*F15*D15</f>
        <v>0</v>
      </c>
      <c r="L15" s="72">
        <f t="shared" si="8"/>
        <v>0</v>
      </c>
      <c r="M15" s="73">
        <f t="shared" si="8"/>
        <v>0</v>
      </c>
      <c r="N15" s="74">
        <f t="shared" ref="N15" si="18">D15/D15-L15</f>
        <v>1</v>
      </c>
      <c r="O15" s="48">
        <f t="shared" ref="O15" si="19">N15*G15</f>
        <v>9580.5</v>
      </c>
      <c r="Q15" s="50"/>
    </row>
    <row r="16" spans="1:17" s="2" customFormat="1" ht="20.149999999999999" customHeight="1" thickBot="1" x14ac:dyDescent="0.3">
      <c r="A16" s="131" t="s">
        <v>16</v>
      </c>
      <c r="B16" s="132"/>
      <c r="C16" s="132"/>
      <c r="D16" s="132"/>
      <c r="E16" s="132"/>
      <c r="F16" s="133"/>
      <c r="G16" s="40">
        <f>SUBTOTAL(9,G9:G15)</f>
        <v>1390000</v>
      </c>
      <c r="H16" s="41">
        <f>I16/C6</f>
        <v>0</v>
      </c>
      <c r="I16" s="40">
        <f>SUBTOTAL(9,I9:I15)</f>
        <v>0</v>
      </c>
      <c r="J16" s="42">
        <f>K16/C6</f>
        <v>0.1</v>
      </c>
      <c r="K16" s="43">
        <f>SUBTOTAL(9,K9:K15)</f>
        <v>139000</v>
      </c>
      <c r="L16" s="41">
        <f>M16/C6</f>
        <v>0.1</v>
      </c>
      <c r="M16" s="44">
        <f>SUBTOTAL(9,M9:M15)</f>
        <v>139000</v>
      </c>
      <c r="N16" s="42">
        <f>O16/C6</f>
        <v>0.9</v>
      </c>
      <c r="O16" s="45">
        <f>SUBTOTAL(9,O9:O15)</f>
        <v>1251000</v>
      </c>
      <c r="Q16" s="50"/>
    </row>
    <row r="17" spans="1:15" ht="20.3" customHeight="1" thickBot="1" x14ac:dyDescent="0.3">
      <c r="A17" s="134" t="s">
        <v>10</v>
      </c>
      <c r="B17" s="135"/>
      <c r="C17" s="135"/>
      <c r="D17" s="135"/>
      <c r="E17" s="135"/>
      <c r="F17" s="135"/>
      <c r="G17" s="135"/>
      <c r="H17" s="135"/>
      <c r="I17" s="136"/>
      <c r="J17" s="138"/>
      <c r="K17" s="139"/>
      <c r="L17" s="139"/>
      <c r="M17" s="140"/>
      <c r="N17" s="5"/>
      <c r="O17" s="6"/>
    </row>
    <row r="18" spans="1:15" ht="20.95" customHeight="1" thickBot="1" x14ac:dyDescent="0.25">
      <c r="A18" s="32"/>
      <c r="B18" s="33"/>
      <c r="C18" s="33"/>
      <c r="D18" s="33"/>
      <c r="E18" s="33"/>
      <c r="F18" s="33"/>
      <c r="G18" s="141" t="s">
        <v>22</v>
      </c>
      <c r="H18" s="141"/>
      <c r="I18" s="142"/>
      <c r="J18" s="143">
        <f>K16</f>
        <v>139000</v>
      </c>
      <c r="K18" s="144"/>
      <c r="L18" s="144"/>
      <c r="M18" s="145"/>
      <c r="N18" s="13"/>
      <c r="O18" s="14"/>
    </row>
    <row r="19" spans="1:15" ht="29.3" customHeight="1" x14ac:dyDescent="0.2">
      <c r="A19" s="7"/>
      <c r="B19" s="156" t="s">
        <v>54</v>
      </c>
      <c r="C19" s="156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8"/>
    </row>
    <row r="20" spans="1:15" x14ac:dyDescent="0.2">
      <c r="A20" s="9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8"/>
    </row>
    <row r="21" spans="1:15" ht="73" customHeight="1" thickBot="1" x14ac:dyDescent="0.2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2"/>
    </row>
    <row r="22" spans="1:15" ht="8.1999999999999993" customHeight="1" thickBot="1" x14ac:dyDescent="0.25"/>
    <row r="23" spans="1:15" ht="17.7" x14ac:dyDescent="0.2">
      <c r="A23" s="146" t="s">
        <v>51</v>
      </c>
      <c r="B23" s="147"/>
      <c r="C23" s="147"/>
      <c r="D23" s="148"/>
      <c r="E23" s="148"/>
      <c r="F23" s="147"/>
      <c r="G23" s="147"/>
      <c r="H23" s="147"/>
      <c r="I23" s="147"/>
      <c r="J23" s="147"/>
      <c r="K23" s="147"/>
      <c r="L23" s="147"/>
      <c r="M23" s="147"/>
      <c r="N23" s="147"/>
      <c r="O23" s="149"/>
    </row>
    <row r="24" spans="1:15" ht="15.05" x14ac:dyDescent="0.2">
      <c r="A24" s="150" t="s">
        <v>25</v>
      </c>
      <c r="B24" s="151"/>
      <c r="C24" s="28">
        <f>G16</f>
        <v>1390000</v>
      </c>
      <c r="D24" s="152" t="s">
        <v>69</v>
      </c>
      <c r="E24" s="153"/>
      <c r="F24" s="26">
        <f>K16</f>
        <v>139000</v>
      </c>
      <c r="G24" s="25"/>
      <c r="H24" s="154"/>
      <c r="I24" s="155"/>
      <c r="J24" s="25" t="s">
        <v>47</v>
      </c>
      <c r="K24" s="26">
        <v>0</v>
      </c>
      <c r="L24" s="25" t="s">
        <v>48</v>
      </c>
      <c r="M24" s="26">
        <v>0</v>
      </c>
      <c r="N24" s="25" t="s">
        <v>49</v>
      </c>
      <c r="O24" s="29">
        <v>0</v>
      </c>
    </row>
    <row r="25" spans="1:15" ht="15.05" x14ac:dyDescent="0.2">
      <c r="A25" s="150" t="s">
        <v>50</v>
      </c>
      <c r="B25" s="151"/>
      <c r="C25" s="28">
        <f>M16</f>
        <v>139000</v>
      </c>
      <c r="D25" s="152" t="s">
        <v>26</v>
      </c>
      <c r="E25" s="153"/>
      <c r="F25" s="26">
        <v>0</v>
      </c>
      <c r="G25" s="25" t="s">
        <v>27</v>
      </c>
      <c r="H25" s="154">
        <v>0</v>
      </c>
      <c r="I25" s="155"/>
      <c r="J25" s="25" t="s">
        <v>28</v>
      </c>
      <c r="K25" s="26">
        <v>0</v>
      </c>
      <c r="L25" s="25" t="s">
        <v>29</v>
      </c>
      <c r="M25" s="26">
        <v>0</v>
      </c>
      <c r="N25" s="25" t="s">
        <v>30</v>
      </c>
      <c r="O25" s="29">
        <v>0</v>
      </c>
    </row>
    <row r="26" spans="1:15" ht="15.05" x14ac:dyDescent="0.2">
      <c r="A26" s="150" t="s">
        <v>36</v>
      </c>
      <c r="B26" s="151"/>
      <c r="C26" s="28">
        <f>O16</f>
        <v>1251000</v>
      </c>
      <c r="D26" s="152" t="s">
        <v>31</v>
      </c>
      <c r="E26" s="153"/>
      <c r="F26" s="26">
        <v>0</v>
      </c>
      <c r="G26" s="25" t="s">
        <v>32</v>
      </c>
      <c r="H26" s="154">
        <v>0</v>
      </c>
      <c r="I26" s="155"/>
      <c r="J26" s="25" t="s">
        <v>33</v>
      </c>
      <c r="K26" s="26">
        <v>0</v>
      </c>
      <c r="L26" s="25" t="s">
        <v>34</v>
      </c>
      <c r="M26" s="26">
        <v>0</v>
      </c>
      <c r="N26" s="25" t="s">
        <v>35</v>
      </c>
      <c r="O26" s="29">
        <v>0</v>
      </c>
    </row>
    <row r="27" spans="1:15" ht="15.05" x14ac:dyDescent="0.2">
      <c r="A27" s="150"/>
      <c r="B27" s="151"/>
      <c r="C27" s="27"/>
      <c r="D27" s="152" t="s">
        <v>37</v>
      </c>
      <c r="E27" s="153"/>
      <c r="F27" s="26">
        <v>0</v>
      </c>
      <c r="G27" s="25" t="s">
        <v>38</v>
      </c>
      <c r="H27" s="154">
        <v>0</v>
      </c>
      <c r="I27" s="155"/>
      <c r="J27" s="25" t="s">
        <v>39</v>
      </c>
      <c r="K27" s="26">
        <v>0</v>
      </c>
      <c r="L27" s="25" t="s">
        <v>40</v>
      </c>
      <c r="M27" s="26">
        <v>0</v>
      </c>
      <c r="N27" s="25" t="s">
        <v>41</v>
      </c>
      <c r="O27" s="29">
        <v>0</v>
      </c>
    </row>
    <row r="28" spans="1:15" ht="15.05" x14ac:dyDescent="0.2">
      <c r="A28" s="150"/>
      <c r="B28" s="151"/>
      <c r="C28" s="27"/>
      <c r="D28" s="152" t="s">
        <v>42</v>
      </c>
      <c r="E28" s="153"/>
      <c r="F28" s="26">
        <v>0</v>
      </c>
      <c r="G28" s="25" t="s">
        <v>43</v>
      </c>
      <c r="H28" s="154">
        <v>0</v>
      </c>
      <c r="I28" s="155"/>
      <c r="J28" s="25" t="s">
        <v>44</v>
      </c>
      <c r="K28" s="26">
        <v>0</v>
      </c>
      <c r="L28" s="25" t="s">
        <v>45</v>
      </c>
      <c r="M28" s="26">
        <v>0</v>
      </c>
      <c r="N28" s="25" t="s">
        <v>46</v>
      </c>
      <c r="O28" s="29">
        <v>0</v>
      </c>
    </row>
    <row r="29" spans="1:15" ht="18.350000000000001" thickBot="1" x14ac:dyDescent="0.25">
      <c r="A29" s="21"/>
      <c r="B29" s="22"/>
      <c r="C29" s="22"/>
      <c r="D29" s="22"/>
      <c r="E29" s="22"/>
      <c r="F29" s="31"/>
      <c r="G29" s="31"/>
      <c r="H29" s="23"/>
      <c r="I29" s="30"/>
      <c r="J29" s="22"/>
      <c r="K29" s="22"/>
      <c r="L29" s="22"/>
      <c r="M29" s="22"/>
      <c r="N29" s="22"/>
      <c r="O29" s="24"/>
    </row>
    <row r="31" spans="1:15" x14ac:dyDescent="0.2">
      <c r="C31" s="49"/>
    </row>
    <row r="32" spans="1:15" x14ac:dyDescent="0.2">
      <c r="C32" s="49"/>
      <c r="F32" s="49">
        <f>F25*0.7</f>
        <v>0</v>
      </c>
    </row>
    <row r="33" spans="3:6" x14ac:dyDescent="0.2">
      <c r="C33" s="49"/>
      <c r="F33" s="49">
        <f>F25-F32</f>
        <v>0</v>
      </c>
    </row>
    <row r="34" spans="3:6" x14ac:dyDescent="0.2">
      <c r="C34" s="49"/>
      <c r="F34" s="49">
        <f>F33*0.11</f>
        <v>0</v>
      </c>
    </row>
    <row r="35" spans="3:6" x14ac:dyDescent="0.2">
      <c r="C35" s="49"/>
    </row>
    <row r="36" spans="3:6" x14ac:dyDescent="0.2">
      <c r="C36" s="49"/>
    </row>
    <row r="37" spans="3:6" x14ac:dyDescent="0.2">
      <c r="C37" s="49"/>
    </row>
    <row r="38" spans="3:6" x14ac:dyDescent="0.2">
      <c r="C38" s="49"/>
    </row>
  </sheetData>
  <mergeCells count="57">
    <mergeCell ref="A25:B25"/>
    <mergeCell ref="D25:E25"/>
    <mergeCell ref="H25:I25"/>
    <mergeCell ref="A28:B28"/>
    <mergeCell ref="D28:E28"/>
    <mergeCell ref="H28:I28"/>
    <mergeCell ref="A26:B26"/>
    <mergeCell ref="D26:E26"/>
    <mergeCell ref="H26:I26"/>
    <mergeCell ref="A27:B27"/>
    <mergeCell ref="D27:E27"/>
    <mergeCell ref="H27:I27"/>
    <mergeCell ref="J17:M17"/>
    <mergeCell ref="G18:I18"/>
    <mergeCell ref="J18:M18"/>
    <mergeCell ref="A23:O23"/>
    <mergeCell ref="A24:B24"/>
    <mergeCell ref="D24:E24"/>
    <mergeCell ref="H24:I24"/>
    <mergeCell ref="B19:C19"/>
    <mergeCell ref="A16:F16"/>
    <mergeCell ref="A17:I17"/>
    <mergeCell ref="B15:C15"/>
    <mergeCell ref="B12:C12"/>
    <mergeCell ref="B13:C13"/>
    <mergeCell ref="B14:C14"/>
    <mergeCell ref="B10:C10"/>
    <mergeCell ref="B11:C11"/>
    <mergeCell ref="H7:I7"/>
    <mergeCell ref="J7:K7"/>
    <mergeCell ref="L7:M7"/>
    <mergeCell ref="B9:C9"/>
    <mergeCell ref="N7:O7"/>
    <mergeCell ref="A6:B6"/>
    <mergeCell ref="C6:E6"/>
    <mergeCell ref="G6:L6"/>
    <mergeCell ref="N6:O6"/>
    <mergeCell ref="A7:A8"/>
    <mergeCell ref="B7:C8"/>
    <mergeCell ref="D7:D8"/>
    <mergeCell ref="E7:E8"/>
    <mergeCell ref="F7:F8"/>
    <mergeCell ref="G7:G8"/>
    <mergeCell ref="A4:B4"/>
    <mergeCell ref="C4:E4"/>
    <mergeCell ref="G4:L4"/>
    <mergeCell ref="N4:O4"/>
    <mergeCell ref="A5:B5"/>
    <mergeCell ref="C5:E5"/>
    <mergeCell ref="G5:L5"/>
    <mergeCell ref="N5:O5"/>
    <mergeCell ref="A1:O1"/>
    <mergeCell ref="A2:O2"/>
    <mergeCell ref="A3:B3"/>
    <mergeCell ref="C3:E3"/>
    <mergeCell ref="G3:L3"/>
    <mergeCell ref="N3:O3"/>
  </mergeCells>
  <printOptions horizontalCentered="1" verticalCentered="1" gridLines="1"/>
  <pageMargins left="0.23622047244094491" right="3.937007874015748E-2" top="0.19685039370078741" bottom="0.15748031496062992" header="0.31496062992125984" footer="0.31496062992125984"/>
  <pageSetup paperSize="9" scale="48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Option Button 1">
              <controlPr defaultSize="0" autoFill="0" autoLine="0" autoPict="0">
                <anchor moveWithCells="1">
                  <from>
                    <xdr:col>14</xdr:col>
                    <xdr:colOff>382385</xdr:colOff>
                    <xdr:row>2</xdr:row>
                    <xdr:rowOff>0</xdr:rowOff>
                  </from>
                  <to>
                    <xdr:col>14</xdr:col>
                    <xdr:colOff>1055716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6" r:id="rId5" name="Option Button 2">
              <controlPr defaultSize="0" autoFill="0" autoLine="0" autoPict="0">
                <anchor moveWithCells="1">
                  <from>
                    <xdr:col>13</xdr:col>
                    <xdr:colOff>507076</xdr:colOff>
                    <xdr:row>1</xdr:row>
                    <xdr:rowOff>232756</xdr:rowOff>
                  </from>
                  <to>
                    <xdr:col>14</xdr:col>
                    <xdr:colOff>49876</xdr:colOff>
                    <xdr:row>3</xdr:row>
                    <xdr:rowOff>8313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96D94-87FB-4B69-A757-866F1AEC6B5E}">
  <dimension ref="A1:Q38"/>
  <sheetViews>
    <sheetView showGridLines="0" zoomScale="70" zoomScaleNormal="70" zoomScaleSheetLayoutView="70" zoomScalePageLayoutView="50" workbookViewId="0">
      <selection activeCell="F25" sqref="F25"/>
    </sheetView>
  </sheetViews>
  <sheetFormatPr defaultRowHeight="12.45" x14ac:dyDescent="0.2"/>
  <cols>
    <col min="1" max="1" width="8.25" customWidth="1"/>
    <col min="2" max="2" width="31.125" customWidth="1"/>
    <col min="3" max="3" width="29.625" customWidth="1"/>
    <col min="4" max="5" width="7.625" customWidth="1"/>
    <col min="6" max="6" width="24.625" customWidth="1"/>
    <col min="7" max="7" width="21" customWidth="1"/>
    <col min="8" max="8" width="11" customWidth="1"/>
    <col min="9" max="9" width="21.375" customWidth="1"/>
    <col min="10" max="10" width="14" customWidth="1"/>
    <col min="11" max="11" width="26.125" customWidth="1"/>
    <col min="12" max="12" width="12.625" customWidth="1"/>
    <col min="13" max="13" width="24.875" customWidth="1"/>
    <col min="14" max="14" width="16.125" bestFit="1" customWidth="1"/>
    <col min="15" max="15" width="26" bestFit="1" customWidth="1"/>
    <col min="17" max="17" width="10" bestFit="1" customWidth="1"/>
  </cols>
  <sheetData>
    <row r="1" spans="1:17" ht="64.5" customHeight="1" thickBot="1" x14ac:dyDescent="0.25">
      <c r="A1" s="81" t="s">
        <v>11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3"/>
    </row>
    <row r="2" spans="1:17" ht="20.149999999999999" customHeight="1" x14ac:dyDescent="0.2">
      <c r="A2" s="84" t="s">
        <v>61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</row>
    <row r="3" spans="1:17" ht="20.149999999999999" customHeight="1" x14ac:dyDescent="0.2">
      <c r="A3" s="87" t="s">
        <v>0</v>
      </c>
      <c r="B3" s="88"/>
      <c r="C3" s="89" t="s">
        <v>54</v>
      </c>
      <c r="D3" s="89"/>
      <c r="E3" s="89"/>
      <c r="F3" s="15" t="s">
        <v>1</v>
      </c>
      <c r="G3" s="90" t="s">
        <v>60</v>
      </c>
      <c r="H3" s="91"/>
      <c r="I3" s="91"/>
      <c r="J3" s="91"/>
      <c r="K3" s="91"/>
      <c r="L3" s="92"/>
      <c r="M3" s="18" t="s">
        <v>19</v>
      </c>
      <c r="N3" s="93"/>
      <c r="O3" s="94"/>
    </row>
    <row r="4" spans="1:17" ht="20.149999999999999" customHeight="1" x14ac:dyDescent="0.2">
      <c r="A4" s="95" t="s">
        <v>23</v>
      </c>
      <c r="B4" s="96"/>
      <c r="C4" s="97" t="s">
        <v>59</v>
      </c>
      <c r="D4" s="97"/>
      <c r="E4" s="97"/>
      <c r="F4" s="15"/>
      <c r="G4" s="98"/>
      <c r="H4" s="98"/>
      <c r="I4" s="98"/>
      <c r="J4" s="98"/>
      <c r="K4" s="98"/>
      <c r="L4" s="98"/>
      <c r="M4" s="18" t="s">
        <v>18</v>
      </c>
      <c r="N4" s="99">
        <v>0</v>
      </c>
      <c r="O4" s="94"/>
    </row>
    <row r="5" spans="1:17" ht="20.149999999999999" customHeight="1" x14ac:dyDescent="0.2">
      <c r="A5" s="95" t="s">
        <v>55</v>
      </c>
      <c r="B5" s="96"/>
      <c r="C5" s="97">
        <v>4509922973</v>
      </c>
      <c r="D5" s="97"/>
      <c r="E5" s="97"/>
      <c r="F5" s="16" t="s">
        <v>12</v>
      </c>
      <c r="G5" s="100" t="s">
        <v>57</v>
      </c>
      <c r="H5" s="100"/>
      <c r="I5" s="100"/>
      <c r="J5" s="100"/>
      <c r="K5" s="100"/>
      <c r="L5" s="100"/>
      <c r="M5" s="18" t="s">
        <v>2</v>
      </c>
      <c r="N5" s="101">
        <v>46069</v>
      </c>
      <c r="O5" s="94"/>
    </row>
    <row r="6" spans="1:17" ht="20.149999999999999" customHeight="1" thickBot="1" x14ac:dyDescent="0.25">
      <c r="A6" s="104" t="s">
        <v>56</v>
      </c>
      <c r="B6" s="105"/>
      <c r="C6" s="106">
        <v>1390000</v>
      </c>
      <c r="D6" s="107"/>
      <c r="E6" s="107"/>
      <c r="F6" s="17" t="s">
        <v>24</v>
      </c>
      <c r="G6" s="108" t="s">
        <v>71</v>
      </c>
      <c r="H6" s="109"/>
      <c r="I6" s="109"/>
      <c r="J6" s="109"/>
      <c r="K6" s="109"/>
      <c r="L6" s="110"/>
      <c r="M6" s="19" t="s">
        <v>13</v>
      </c>
      <c r="N6" s="111" t="s">
        <v>62</v>
      </c>
      <c r="O6" s="112"/>
    </row>
    <row r="7" spans="1:17" s="1" customFormat="1" ht="24.05" customHeight="1" x14ac:dyDescent="0.25">
      <c r="A7" s="113" t="s">
        <v>5</v>
      </c>
      <c r="B7" s="115" t="s">
        <v>6</v>
      </c>
      <c r="C7" s="116"/>
      <c r="D7" s="119" t="s">
        <v>7</v>
      </c>
      <c r="E7" s="121" t="s">
        <v>8</v>
      </c>
      <c r="F7" s="119" t="s">
        <v>20</v>
      </c>
      <c r="G7" s="123" t="s">
        <v>21</v>
      </c>
      <c r="H7" s="126" t="s">
        <v>14</v>
      </c>
      <c r="I7" s="127"/>
      <c r="J7" s="128" t="s">
        <v>15</v>
      </c>
      <c r="K7" s="128"/>
      <c r="L7" s="129" t="s">
        <v>17</v>
      </c>
      <c r="M7" s="103"/>
      <c r="N7" s="102" t="s">
        <v>4</v>
      </c>
      <c r="O7" s="103"/>
    </row>
    <row r="8" spans="1:17" s="1" customFormat="1" ht="15.05" customHeight="1" thickBot="1" x14ac:dyDescent="0.3">
      <c r="A8" s="114"/>
      <c r="B8" s="117"/>
      <c r="C8" s="118"/>
      <c r="D8" s="120"/>
      <c r="E8" s="122"/>
      <c r="F8" s="120"/>
      <c r="G8" s="124"/>
      <c r="H8" s="57" t="s">
        <v>7</v>
      </c>
      <c r="I8" s="35" t="s">
        <v>9</v>
      </c>
      <c r="J8" s="36" t="s">
        <v>7</v>
      </c>
      <c r="K8" s="37" t="s">
        <v>3</v>
      </c>
      <c r="L8" s="57" t="s">
        <v>7</v>
      </c>
      <c r="M8" s="35" t="s">
        <v>3</v>
      </c>
      <c r="N8" s="38" t="s">
        <v>7</v>
      </c>
      <c r="O8" s="39" t="s">
        <v>9</v>
      </c>
    </row>
    <row r="9" spans="1:17" s="3" customFormat="1" ht="20" customHeight="1" x14ac:dyDescent="0.2">
      <c r="A9" s="52">
        <v>0</v>
      </c>
      <c r="B9" s="130" t="s">
        <v>68</v>
      </c>
      <c r="C9" s="130"/>
      <c r="D9" s="58">
        <v>1</v>
      </c>
      <c r="E9" s="53" t="s">
        <v>52</v>
      </c>
      <c r="F9" s="59">
        <f>C6*0.1</f>
        <v>139000</v>
      </c>
      <c r="G9" s="59">
        <f t="shared" ref="G9:G15" si="0">F9*D9</f>
        <v>139000</v>
      </c>
      <c r="H9" s="60">
        <v>1</v>
      </c>
      <c r="I9" s="61">
        <f t="shared" ref="I9:I15" si="1">H9*G9</f>
        <v>139000</v>
      </c>
      <c r="J9" s="62"/>
      <c r="K9" s="63">
        <f>J9*F9*D9</f>
        <v>0</v>
      </c>
      <c r="L9" s="60">
        <f t="shared" ref="L9:M15" si="2">J9+H9</f>
        <v>1</v>
      </c>
      <c r="M9" s="61">
        <f t="shared" si="2"/>
        <v>139000</v>
      </c>
      <c r="N9" s="62">
        <f t="shared" ref="N9:N12" si="3">D9/D9-L9</f>
        <v>0</v>
      </c>
      <c r="O9" s="54">
        <f t="shared" ref="O9:O12" si="4">N9*G9</f>
        <v>0</v>
      </c>
      <c r="Q9" s="50"/>
    </row>
    <row r="10" spans="1:17" s="3" customFormat="1" ht="20" customHeight="1" x14ac:dyDescent="0.2">
      <c r="A10" s="51">
        <v>1</v>
      </c>
      <c r="B10" s="125" t="s">
        <v>53</v>
      </c>
      <c r="C10" s="125"/>
      <c r="D10" s="64">
        <v>1</v>
      </c>
      <c r="E10" s="20" t="s">
        <v>52</v>
      </c>
      <c r="F10" s="65">
        <v>131400</v>
      </c>
      <c r="G10" s="65">
        <f t="shared" si="0"/>
        <v>131400</v>
      </c>
      <c r="H10" s="66">
        <v>0</v>
      </c>
      <c r="I10" s="67">
        <f t="shared" si="1"/>
        <v>0</v>
      </c>
      <c r="J10" s="68">
        <v>0.31</v>
      </c>
      <c r="K10" s="69">
        <f>J10*F10*D10</f>
        <v>40734</v>
      </c>
      <c r="L10" s="66">
        <f t="shared" si="2"/>
        <v>0.31</v>
      </c>
      <c r="M10" s="67">
        <f t="shared" si="2"/>
        <v>40734</v>
      </c>
      <c r="N10" s="68">
        <f t="shared" si="3"/>
        <v>0.69</v>
      </c>
      <c r="O10" s="46">
        <f t="shared" si="4"/>
        <v>90666</v>
      </c>
      <c r="Q10" s="50"/>
    </row>
    <row r="11" spans="1:17" s="3" customFormat="1" ht="20" customHeight="1" x14ac:dyDescent="0.2">
      <c r="A11" s="51">
        <v>2</v>
      </c>
      <c r="B11" s="125" t="s">
        <v>64</v>
      </c>
      <c r="C11" s="125"/>
      <c r="D11" s="64">
        <v>1</v>
      </c>
      <c r="E11" s="20" t="s">
        <v>52</v>
      </c>
      <c r="F11" s="65">
        <v>354033</v>
      </c>
      <c r="G11" s="65">
        <f t="shared" si="0"/>
        <v>354033</v>
      </c>
      <c r="H11" s="66">
        <v>0</v>
      </c>
      <c r="I11" s="67">
        <f t="shared" si="1"/>
        <v>0</v>
      </c>
      <c r="J11" s="68">
        <v>6.4000000000000001E-2</v>
      </c>
      <c r="K11" s="69">
        <f t="shared" ref="K11:K12" si="5">J11*F11*D11</f>
        <v>22658.112000000001</v>
      </c>
      <c r="L11" s="66">
        <f t="shared" si="2"/>
        <v>6.4000000000000001E-2</v>
      </c>
      <c r="M11" s="67">
        <f t="shared" si="2"/>
        <v>22658.112000000001</v>
      </c>
      <c r="N11" s="68">
        <f t="shared" si="3"/>
        <v>0.93599999999999994</v>
      </c>
      <c r="O11" s="46">
        <f t="shared" si="4"/>
        <v>331374.88799999998</v>
      </c>
      <c r="Q11" s="50"/>
    </row>
    <row r="12" spans="1:17" s="3" customFormat="1" ht="20" customHeight="1" x14ac:dyDescent="0.2">
      <c r="A12" s="51">
        <v>3</v>
      </c>
      <c r="B12" s="125" t="s">
        <v>67</v>
      </c>
      <c r="C12" s="125"/>
      <c r="D12" s="64">
        <v>1</v>
      </c>
      <c r="E12" s="20" t="s">
        <v>52</v>
      </c>
      <c r="F12" s="65">
        <v>262948.5</v>
      </c>
      <c r="G12" s="65">
        <f t="shared" si="0"/>
        <v>262948.5</v>
      </c>
      <c r="H12" s="66">
        <v>0</v>
      </c>
      <c r="I12" s="67">
        <f t="shared" si="1"/>
        <v>0</v>
      </c>
      <c r="J12" s="68">
        <v>0.29399999999999998</v>
      </c>
      <c r="K12" s="69">
        <f t="shared" si="5"/>
        <v>77306.858999999997</v>
      </c>
      <c r="L12" s="66">
        <f t="shared" si="2"/>
        <v>0.29399999999999998</v>
      </c>
      <c r="M12" s="67">
        <f t="shared" si="2"/>
        <v>77306.858999999997</v>
      </c>
      <c r="N12" s="68">
        <f t="shared" si="3"/>
        <v>0.70599999999999996</v>
      </c>
      <c r="O12" s="46">
        <f t="shared" si="4"/>
        <v>185641.641</v>
      </c>
      <c r="Q12" s="50"/>
    </row>
    <row r="13" spans="1:17" s="3" customFormat="1" ht="20" customHeight="1" x14ac:dyDescent="0.2">
      <c r="A13" s="51">
        <v>4</v>
      </c>
      <c r="B13" s="125" t="s">
        <v>65</v>
      </c>
      <c r="C13" s="125"/>
      <c r="D13" s="64">
        <v>1</v>
      </c>
      <c r="E13" s="20" t="s">
        <v>52</v>
      </c>
      <c r="F13" s="65">
        <v>275467.5</v>
      </c>
      <c r="G13" s="65">
        <f t="shared" si="0"/>
        <v>275467.5</v>
      </c>
      <c r="H13" s="66">
        <v>0</v>
      </c>
      <c r="I13" s="67">
        <f t="shared" si="1"/>
        <v>0</v>
      </c>
      <c r="J13" s="68">
        <v>0.315</v>
      </c>
      <c r="K13" s="69">
        <f>J13*F13*D13</f>
        <v>86772.262499999997</v>
      </c>
      <c r="L13" s="66">
        <f t="shared" si="2"/>
        <v>0.315</v>
      </c>
      <c r="M13" s="67">
        <f>K13+I13</f>
        <v>86772.262499999997</v>
      </c>
      <c r="N13" s="68">
        <f>D13/D13-L13</f>
        <v>0.68500000000000005</v>
      </c>
      <c r="O13" s="46">
        <f>N13*G13</f>
        <v>188695.23750000002</v>
      </c>
      <c r="Q13" s="50"/>
    </row>
    <row r="14" spans="1:17" s="3" customFormat="1" ht="20" customHeight="1" x14ac:dyDescent="0.2">
      <c r="A14" s="51">
        <v>5</v>
      </c>
      <c r="B14" s="125" t="s">
        <v>66</v>
      </c>
      <c r="C14" s="125"/>
      <c r="D14" s="64">
        <v>1</v>
      </c>
      <c r="E14" s="20" t="s">
        <v>52</v>
      </c>
      <c r="F14" s="65">
        <v>217570.5</v>
      </c>
      <c r="G14" s="65">
        <f t="shared" si="0"/>
        <v>217570.5</v>
      </c>
      <c r="H14" s="66">
        <v>0</v>
      </c>
      <c r="I14" s="67">
        <f t="shared" si="1"/>
        <v>0</v>
      </c>
      <c r="J14" s="68">
        <v>0.215</v>
      </c>
      <c r="K14" s="69">
        <f>J14*F14*D14</f>
        <v>46777.657500000001</v>
      </c>
      <c r="L14" s="66">
        <f t="shared" si="2"/>
        <v>0.215</v>
      </c>
      <c r="M14" s="67">
        <f t="shared" si="2"/>
        <v>46777.657500000001</v>
      </c>
      <c r="N14" s="68">
        <f t="shared" ref="N14:N15" si="6">D14/D14-L14</f>
        <v>0.78500000000000003</v>
      </c>
      <c r="O14" s="46">
        <f t="shared" ref="O14:O15" si="7">N14*G14</f>
        <v>170792.8425</v>
      </c>
      <c r="Q14" s="50"/>
    </row>
    <row r="15" spans="1:17" s="3" customFormat="1" ht="20" customHeight="1" thickBot="1" x14ac:dyDescent="0.25">
      <c r="A15" s="55">
        <v>6</v>
      </c>
      <c r="B15" s="137" t="s">
        <v>63</v>
      </c>
      <c r="C15" s="137"/>
      <c r="D15" s="70">
        <v>1</v>
      </c>
      <c r="E15" s="47" t="s">
        <v>52</v>
      </c>
      <c r="F15" s="71">
        <v>9580.5</v>
      </c>
      <c r="G15" s="71">
        <f t="shared" si="0"/>
        <v>9580.5</v>
      </c>
      <c r="H15" s="72">
        <v>0</v>
      </c>
      <c r="I15" s="73">
        <f t="shared" si="1"/>
        <v>0</v>
      </c>
      <c r="J15" s="74"/>
      <c r="K15" s="75">
        <f>J15*F15*D15</f>
        <v>0</v>
      </c>
      <c r="L15" s="72">
        <f t="shared" si="2"/>
        <v>0</v>
      </c>
      <c r="M15" s="73">
        <f t="shared" si="2"/>
        <v>0</v>
      </c>
      <c r="N15" s="74">
        <f t="shared" si="6"/>
        <v>1</v>
      </c>
      <c r="O15" s="48">
        <f t="shared" si="7"/>
        <v>9580.5</v>
      </c>
      <c r="Q15" s="50"/>
    </row>
    <row r="16" spans="1:17" s="2" customFormat="1" ht="20.149999999999999" customHeight="1" thickBot="1" x14ac:dyDescent="0.3">
      <c r="A16" s="131" t="s">
        <v>16</v>
      </c>
      <c r="B16" s="132"/>
      <c r="C16" s="132"/>
      <c r="D16" s="132"/>
      <c r="E16" s="132"/>
      <c r="F16" s="133"/>
      <c r="G16" s="40">
        <f>SUBTOTAL(9,G9:G15)</f>
        <v>1390000</v>
      </c>
      <c r="H16" s="41">
        <f>I16/C6</f>
        <v>0.1</v>
      </c>
      <c r="I16" s="40">
        <f>SUBTOTAL(9,I9:I15)</f>
        <v>139000</v>
      </c>
      <c r="J16" s="42">
        <f>K16/C6</f>
        <v>0.19730136043165464</v>
      </c>
      <c r="K16" s="43">
        <f>SUBTOTAL(9,K9:K15)</f>
        <v>274248.89099999995</v>
      </c>
      <c r="L16" s="41">
        <f>M16/C6</f>
        <v>0.29730136043165473</v>
      </c>
      <c r="M16" s="44">
        <f>SUBTOTAL(9,M9:M15)</f>
        <v>413248.89100000006</v>
      </c>
      <c r="N16" s="42">
        <f>O16/C6</f>
        <v>0.70269863956834533</v>
      </c>
      <c r="O16" s="45">
        <f>SUBTOTAL(9,O9:O15)</f>
        <v>976751.10900000005</v>
      </c>
      <c r="Q16" s="50"/>
    </row>
    <row r="17" spans="1:15" ht="20.3" customHeight="1" thickBot="1" x14ac:dyDescent="0.3">
      <c r="A17" s="134" t="s">
        <v>10</v>
      </c>
      <c r="B17" s="135"/>
      <c r="C17" s="135"/>
      <c r="D17" s="135"/>
      <c r="E17" s="135"/>
      <c r="F17" s="135"/>
      <c r="G17" s="135"/>
      <c r="H17" s="135"/>
      <c r="I17" s="136"/>
      <c r="J17" s="138"/>
      <c r="K17" s="139"/>
      <c r="L17" s="139"/>
      <c r="M17" s="140"/>
      <c r="N17" s="5"/>
      <c r="O17" s="6"/>
    </row>
    <row r="18" spans="1:15" ht="20.95" customHeight="1" thickBot="1" x14ac:dyDescent="0.25">
      <c r="A18" s="32"/>
      <c r="B18" s="33"/>
      <c r="C18" s="33"/>
      <c r="D18" s="33"/>
      <c r="E18" s="33"/>
      <c r="F18" s="33"/>
      <c r="G18" s="141" t="s">
        <v>22</v>
      </c>
      <c r="H18" s="141"/>
      <c r="I18" s="142"/>
      <c r="J18" s="143">
        <f>K16</f>
        <v>274248.89099999995</v>
      </c>
      <c r="K18" s="144"/>
      <c r="L18" s="144"/>
      <c r="M18" s="145"/>
      <c r="N18" s="13"/>
      <c r="O18" s="14"/>
    </row>
    <row r="19" spans="1:15" ht="29.3" customHeight="1" x14ac:dyDescent="0.2">
      <c r="A19" s="7"/>
      <c r="B19" s="156" t="s">
        <v>54</v>
      </c>
      <c r="C19" s="156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8"/>
    </row>
    <row r="20" spans="1:15" x14ac:dyDescent="0.2">
      <c r="A20" s="9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8"/>
    </row>
    <row r="21" spans="1:15" ht="73" customHeight="1" thickBot="1" x14ac:dyDescent="0.2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2"/>
    </row>
    <row r="22" spans="1:15" ht="8.1999999999999993" customHeight="1" thickBot="1" x14ac:dyDescent="0.25"/>
    <row r="23" spans="1:15" ht="17.7" x14ac:dyDescent="0.2">
      <c r="A23" s="146" t="s">
        <v>51</v>
      </c>
      <c r="B23" s="147"/>
      <c r="C23" s="147"/>
      <c r="D23" s="148"/>
      <c r="E23" s="148"/>
      <c r="F23" s="147"/>
      <c r="G23" s="147"/>
      <c r="H23" s="147"/>
      <c r="I23" s="147"/>
      <c r="J23" s="147"/>
      <c r="K23" s="147"/>
      <c r="L23" s="147"/>
      <c r="M23" s="147"/>
      <c r="N23" s="147"/>
      <c r="O23" s="149"/>
    </row>
    <row r="24" spans="1:15" ht="15.05" x14ac:dyDescent="0.2">
      <c r="A24" s="150" t="s">
        <v>25</v>
      </c>
      <c r="B24" s="151"/>
      <c r="C24" s="56">
        <f>G16</f>
        <v>1390000</v>
      </c>
      <c r="D24" s="152" t="s">
        <v>69</v>
      </c>
      <c r="E24" s="153"/>
      <c r="F24" s="26">
        <v>139000</v>
      </c>
      <c r="G24" s="25"/>
      <c r="H24" s="154"/>
      <c r="I24" s="155"/>
      <c r="J24" s="25" t="s">
        <v>47</v>
      </c>
      <c r="K24" s="26">
        <v>0</v>
      </c>
      <c r="L24" s="25" t="s">
        <v>48</v>
      </c>
      <c r="M24" s="26">
        <v>0</v>
      </c>
      <c r="N24" s="25" t="s">
        <v>49</v>
      </c>
      <c r="O24" s="29">
        <v>0</v>
      </c>
    </row>
    <row r="25" spans="1:15" ht="15.05" x14ac:dyDescent="0.2">
      <c r="A25" s="150" t="s">
        <v>50</v>
      </c>
      <c r="B25" s="151"/>
      <c r="C25" s="56">
        <f>M16</f>
        <v>413248.89100000006</v>
      </c>
      <c r="D25" s="152" t="s">
        <v>26</v>
      </c>
      <c r="E25" s="153"/>
      <c r="F25" s="26">
        <f>K16</f>
        <v>274248.89099999995</v>
      </c>
      <c r="G25" s="25" t="s">
        <v>27</v>
      </c>
      <c r="H25" s="154">
        <v>0</v>
      </c>
      <c r="I25" s="155"/>
      <c r="J25" s="25" t="s">
        <v>28</v>
      </c>
      <c r="K25" s="26">
        <v>0</v>
      </c>
      <c r="L25" s="25" t="s">
        <v>29</v>
      </c>
      <c r="M25" s="26">
        <v>0</v>
      </c>
      <c r="N25" s="25" t="s">
        <v>30</v>
      </c>
      <c r="O25" s="29">
        <v>0</v>
      </c>
    </row>
    <row r="26" spans="1:15" ht="15.05" x14ac:dyDescent="0.2">
      <c r="A26" s="150" t="s">
        <v>36</v>
      </c>
      <c r="B26" s="151"/>
      <c r="C26" s="56">
        <f>O16</f>
        <v>976751.10900000005</v>
      </c>
      <c r="D26" s="152" t="s">
        <v>31</v>
      </c>
      <c r="E26" s="153"/>
      <c r="F26" s="26">
        <v>0</v>
      </c>
      <c r="G26" s="25" t="s">
        <v>32</v>
      </c>
      <c r="H26" s="154">
        <v>0</v>
      </c>
      <c r="I26" s="155"/>
      <c r="J26" s="25" t="s">
        <v>33</v>
      </c>
      <c r="K26" s="26">
        <v>0</v>
      </c>
      <c r="L26" s="25" t="s">
        <v>34</v>
      </c>
      <c r="M26" s="26">
        <v>0</v>
      </c>
      <c r="N26" s="25" t="s">
        <v>35</v>
      </c>
      <c r="O26" s="29">
        <v>0</v>
      </c>
    </row>
    <row r="27" spans="1:15" ht="15.05" x14ac:dyDescent="0.2">
      <c r="A27" s="150"/>
      <c r="B27" s="151"/>
      <c r="C27" s="27"/>
      <c r="D27" s="152" t="s">
        <v>37</v>
      </c>
      <c r="E27" s="153"/>
      <c r="F27" s="26">
        <v>0</v>
      </c>
      <c r="G27" s="25" t="s">
        <v>38</v>
      </c>
      <c r="H27" s="154">
        <v>0</v>
      </c>
      <c r="I27" s="155"/>
      <c r="J27" s="25" t="s">
        <v>39</v>
      </c>
      <c r="K27" s="26">
        <v>0</v>
      </c>
      <c r="L27" s="25" t="s">
        <v>40</v>
      </c>
      <c r="M27" s="26">
        <v>0</v>
      </c>
      <c r="N27" s="25" t="s">
        <v>41</v>
      </c>
      <c r="O27" s="29">
        <v>0</v>
      </c>
    </row>
    <row r="28" spans="1:15" ht="15.05" x14ac:dyDescent="0.2">
      <c r="A28" s="150"/>
      <c r="B28" s="151"/>
      <c r="C28" s="27"/>
      <c r="D28" s="152" t="s">
        <v>42</v>
      </c>
      <c r="E28" s="153"/>
      <c r="F28" s="26">
        <v>0</v>
      </c>
      <c r="G28" s="25" t="s">
        <v>43</v>
      </c>
      <c r="H28" s="154">
        <v>0</v>
      </c>
      <c r="I28" s="155"/>
      <c r="J28" s="25" t="s">
        <v>44</v>
      </c>
      <c r="K28" s="26">
        <v>0</v>
      </c>
      <c r="L28" s="25" t="s">
        <v>45</v>
      </c>
      <c r="M28" s="26">
        <v>0</v>
      </c>
      <c r="N28" s="25" t="s">
        <v>46</v>
      </c>
      <c r="O28" s="29">
        <v>0</v>
      </c>
    </row>
    <row r="29" spans="1:15" ht="18.350000000000001" thickBot="1" x14ac:dyDescent="0.25">
      <c r="A29" s="21"/>
      <c r="B29" s="22"/>
      <c r="C29" s="22"/>
      <c r="D29" s="22"/>
      <c r="E29" s="22"/>
      <c r="F29" s="31"/>
      <c r="G29" s="31"/>
      <c r="H29" s="23"/>
      <c r="I29" s="30"/>
      <c r="J29" s="22"/>
      <c r="K29" s="22"/>
      <c r="L29" s="22"/>
      <c r="M29" s="22"/>
      <c r="N29" s="22"/>
      <c r="O29" s="24"/>
    </row>
    <row r="31" spans="1:15" x14ac:dyDescent="0.2">
      <c r="C31" s="49"/>
    </row>
    <row r="32" spans="1:15" x14ac:dyDescent="0.2">
      <c r="C32" s="49"/>
      <c r="F32" s="49">
        <f>F25*0.7</f>
        <v>191974.22369999994</v>
      </c>
    </row>
    <row r="33" spans="3:6" x14ac:dyDescent="0.2">
      <c r="C33" s="49"/>
      <c r="F33" s="49">
        <f>F25-F32</f>
        <v>82274.667300000001</v>
      </c>
    </row>
    <row r="34" spans="3:6" x14ac:dyDescent="0.2">
      <c r="C34" s="49"/>
      <c r="F34" s="49">
        <f>F33*0.11</f>
        <v>9050.2134029999997</v>
      </c>
    </row>
    <row r="35" spans="3:6" x14ac:dyDescent="0.2">
      <c r="C35" s="49"/>
    </row>
    <row r="36" spans="3:6" x14ac:dyDescent="0.2">
      <c r="C36" s="49"/>
    </row>
    <row r="37" spans="3:6" x14ac:dyDescent="0.2">
      <c r="C37" s="49"/>
    </row>
    <row r="38" spans="3:6" x14ac:dyDescent="0.2">
      <c r="C38" s="49"/>
    </row>
  </sheetData>
  <mergeCells count="57">
    <mergeCell ref="A28:B28"/>
    <mergeCell ref="D28:E28"/>
    <mergeCell ref="H28:I28"/>
    <mergeCell ref="A26:B26"/>
    <mergeCell ref="D26:E26"/>
    <mergeCell ref="H26:I26"/>
    <mergeCell ref="A27:B27"/>
    <mergeCell ref="D27:E27"/>
    <mergeCell ref="H27:I27"/>
    <mergeCell ref="A24:B24"/>
    <mergeCell ref="D24:E24"/>
    <mergeCell ref="H24:I24"/>
    <mergeCell ref="A25:B25"/>
    <mergeCell ref="D25:E25"/>
    <mergeCell ref="H25:I25"/>
    <mergeCell ref="A23:O23"/>
    <mergeCell ref="B11:C11"/>
    <mergeCell ref="B12:C12"/>
    <mergeCell ref="B13:C13"/>
    <mergeCell ref="B14:C14"/>
    <mergeCell ref="B15:C15"/>
    <mergeCell ref="A16:F16"/>
    <mergeCell ref="A17:I17"/>
    <mergeCell ref="J17:M17"/>
    <mergeCell ref="G18:I18"/>
    <mergeCell ref="J18:M18"/>
    <mergeCell ref="B19:C19"/>
    <mergeCell ref="B10:C10"/>
    <mergeCell ref="A6:B6"/>
    <mergeCell ref="C6:E6"/>
    <mergeCell ref="G6:L6"/>
    <mergeCell ref="N6:O6"/>
    <mergeCell ref="A7:A8"/>
    <mergeCell ref="B7:C8"/>
    <mergeCell ref="D7:D8"/>
    <mergeCell ref="E7:E8"/>
    <mergeCell ref="F7:F8"/>
    <mergeCell ref="G7:G8"/>
    <mergeCell ref="H7:I7"/>
    <mergeCell ref="J7:K7"/>
    <mergeCell ref="L7:M7"/>
    <mergeCell ref="N7:O7"/>
    <mergeCell ref="B9:C9"/>
    <mergeCell ref="A4:B4"/>
    <mergeCell ref="C4:E4"/>
    <mergeCell ref="G4:L4"/>
    <mergeCell ref="N4:O4"/>
    <mergeCell ref="A5:B5"/>
    <mergeCell ref="C5:E5"/>
    <mergeCell ref="G5:L5"/>
    <mergeCell ref="N5:O5"/>
    <mergeCell ref="A1:O1"/>
    <mergeCell ref="A2:O2"/>
    <mergeCell ref="A3:B3"/>
    <mergeCell ref="C3:E3"/>
    <mergeCell ref="G3:L3"/>
    <mergeCell ref="N3:O3"/>
  </mergeCells>
  <printOptions horizontalCentered="1" verticalCentered="1" gridLines="1"/>
  <pageMargins left="0.23622047244094491" right="3.937007874015748E-2" top="0.19685039370078741" bottom="0.15748031496062992" header="0.31496062992125984" footer="0.31496062992125984"/>
  <pageSetup paperSize="9" scale="48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Option Button 1">
              <controlPr defaultSize="0" autoFill="0" autoLine="0" autoPict="0">
                <anchor moveWithCells="1">
                  <from>
                    <xdr:col>14</xdr:col>
                    <xdr:colOff>382385</xdr:colOff>
                    <xdr:row>2</xdr:row>
                    <xdr:rowOff>0</xdr:rowOff>
                  </from>
                  <to>
                    <xdr:col>14</xdr:col>
                    <xdr:colOff>1055716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0" r:id="rId5" name="Option Button 2">
              <controlPr defaultSize="0" autoFill="0" autoLine="0" autoPict="0">
                <anchor moveWithCells="1">
                  <from>
                    <xdr:col>13</xdr:col>
                    <xdr:colOff>507076</xdr:colOff>
                    <xdr:row>1</xdr:row>
                    <xdr:rowOff>232756</xdr:rowOff>
                  </from>
                  <to>
                    <xdr:col>14</xdr:col>
                    <xdr:colOff>49876</xdr:colOff>
                    <xdr:row>3</xdr:row>
                    <xdr:rowOff>8313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813F1-A885-4812-A014-8F0999744907}">
  <dimension ref="A1:R46"/>
  <sheetViews>
    <sheetView showGridLines="0" topLeftCell="A10" zoomScale="70" zoomScaleNormal="70" zoomScaleSheetLayoutView="70" zoomScalePageLayoutView="50" workbookViewId="0">
      <selection activeCell="C34" sqref="C34"/>
    </sheetView>
  </sheetViews>
  <sheetFormatPr defaultRowHeight="12.45" x14ac:dyDescent="0.2"/>
  <cols>
    <col min="1" max="1" width="8.25" customWidth="1"/>
    <col min="2" max="2" width="31.125" customWidth="1"/>
    <col min="3" max="3" width="29.625" customWidth="1"/>
    <col min="4" max="5" width="7.625" customWidth="1"/>
    <col min="6" max="6" width="24.625" customWidth="1"/>
    <col min="7" max="7" width="21" customWidth="1"/>
    <col min="8" max="8" width="11" customWidth="1"/>
    <col min="9" max="9" width="21.375" customWidth="1"/>
    <col min="10" max="10" width="14" customWidth="1"/>
    <col min="11" max="11" width="26.125" customWidth="1"/>
    <col min="12" max="12" width="12.625" customWidth="1"/>
    <col min="13" max="13" width="24.875" customWidth="1"/>
    <col min="14" max="14" width="16.125" bestFit="1" customWidth="1"/>
    <col min="15" max="15" width="26" bestFit="1" customWidth="1"/>
    <col min="17" max="17" width="10" bestFit="1" customWidth="1"/>
  </cols>
  <sheetData>
    <row r="1" spans="1:18" ht="64.5" customHeight="1" thickBot="1" x14ac:dyDescent="0.25">
      <c r="A1" s="81" t="s">
        <v>11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3"/>
    </row>
    <row r="2" spans="1:18" ht="20.149999999999999" customHeight="1" x14ac:dyDescent="0.2">
      <c r="A2" s="84" t="s">
        <v>61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</row>
    <row r="3" spans="1:18" ht="20.149999999999999" customHeight="1" x14ac:dyDescent="0.2">
      <c r="A3" s="87" t="s">
        <v>0</v>
      </c>
      <c r="B3" s="88"/>
      <c r="C3" s="89" t="s">
        <v>54</v>
      </c>
      <c r="D3" s="89"/>
      <c r="E3" s="89"/>
      <c r="F3" s="15" t="s">
        <v>1</v>
      </c>
      <c r="G3" s="90" t="s">
        <v>60</v>
      </c>
      <c r="H3" s="91"/>
      <c r="I3" s="91"/>
      <c r="J3" s="91"/>
      <c r="K3" s="91"/>
      <c r="L3" s="92"/>
      <c r="M3" s="18" t="s">
        <v>19</v>
      </c>
      <c r="N3" s="93"/>
      <c r="O3" s="94"/>
    </row>
    <row r="4" spans="1:18" ht="20.149999999999999" customHeight="1" x14ac:dyDescent="0.2">
      <c r="A4" s="95" t="s">
        <v>23</v>
      </c>
      <c r="B4" s="96"/>
      <c r="C4" s="97" t="s">
        <v>59</v>
      </c>
      <c r="D4" s="97"/>
      <c r="E4" s="97"/>
      <c r="F4" s="15"/>
      <c r="G4" s="98"/>
      <c r="H4" s="98"/>
      <c r="I4" s="98"/>
      <c r="J4" s="98"/>
      <c r="K4" s="98"/>
      <c r="L4" s="98"/>
      <c r="M4" s="18" t="s">
        <v>18</v>
      </c>
      <c r="N4" s="99">
        <v>0</v>
      </c>
      <c r="O4" s="94"/>
    </row>
    <row r="5" spans="1:18" ht="20.149999999999999" customHeight="1" x14ac:dyDescent="0.2">
      <c r="A5" s="95" t="s">
        <v>55</v>
      </c>
      <c r="B5" s="96"/>
      <c r="C5" s="97">
        <v>4509922973</v>
      </c>
      <c r="D5" s="97"/>
      <c r="E5" s="97"/>
      <c r="F5" s="16" t="s">
        <v>12</v>
      </c>
      <c r="G5" s="100" t="s">
        <v>72</v>
      </c>
      <c r="H5" s="100"/>
      <c r="I5" s="100"/>
      <c r="J5" s="100"/>
      <c r="K5" s="100"/>
      <c r="L5" s="100"/>
      <c r="M5" s="18" t="s">
        <v>2</v>
      </c>
      <c r="N5" s="101">
        <v>46165</v>
      </c>
      <c r="O5" s="94"/>
    </row>
    <row r="6" spans="1:18" ht="20.149999999999999" customHeight="1" thickBot="1" x14ac:dyDescent="0.25">
      <c r="A6" s="104" t="s">
        <v>56</v>
      </c>
      <c r="B6" s="105"/>
      <c r="C6" s="106">
        <v>1390000</v>
      </c>
      <c r="D6" s="107"/>
      <c r="E6" s="107"/>
      <c r="F6" s="17" t="s">
        <v>24</v>
      </c>
      <c r="G6" s="108" t="s">
        <v>78</v>
      </c>
      <c r="H6" s="109"/>
      <c r="I6" s="109"/>
      <c r="J6" s="109"/>
      <c r="K6" s="109"/>
      <c r="L6" s="110"/>
      <c r="M6" s="19" t="s">
        <v>13</v>
      </c>
      <c r="N6" s="111" t="s">
        <v>62</v>
      </c>
      <c r="O6" s="112"/>
    </row>
    <row r="7" spans="1:18" s="1" customFormat="1" ht="24.05" customHeight="1" x14ac:dyDescent="0.25">
      <c r="A7" s="113" t="s">
        <v>5</v>
      </c>
      <c r="B7" s="115" t="s">
        <v>6</v>
      </c>
      <c r="C7" s="116"/>
      <c r="D7" s="119" t="s">
        <v>7</v>
      </c>
      <c r="E7" s="121" t="s">
        <v>8</v>
      </c>
      <c r="F7" s="119" t="s">
        <v>20</v>
      </c>
      <c r="G7" s="123" t="s">
        <v>21</v>
      </c>
      <c r="H7" s="126" t="s">
        <v>14</v>
      </c>
      <c r="I7" s="127"/>
      <c r="J7" s="128" t="s">
        <v>15</v>
      </c>
      <c r="K7" s="128"/>
      <c r="L7" s="129" t="s">
        <v>17</v>
      </c>
      <c r="M7" s="103"/>
      <c r="N7" s="102" t="s">
        <v>4</v>
      </c>
      <c r="O7" s="103"/>
    </row>
    <row r="8" spans="1:18" s="1" customFormat="1" ht="15.05" customHeight="1" thickBot="1" x14ac:dyDescent="0.3">
      <c r="A8" s="114"/>
      <c r="B8" s="117"/>
      <c r="C8" s="118"/>
      <c r="D8" s="120"/>
      <c r="E8" s="122"/>
      <c r="F8" s="120"/>
      <c r="G8" s="124"/>
      <c r="H8" s="76" t="s">
        <v>7</v>
      </c>
      <c r="I8" s="35" t="s">
        <v>9</v>
      </c>
      <c r="J8" s="36" t="s">
        <v>7</v>
      </c>
      <c r="K8" s="37" t="s">
        <v>3</v>
      </c>
      <c r="L8" s="76" t="s">
        <v>7</v>
      </c>
      <c r="M8" s="35" t="s">
        <v>3</v>
      </c>
      <c r="N8" s="38" t="s">
        <v>7</v>
      </c>
      <c r="O8" s="39" t="s">
        <v>9</v>
      </c>
    </row>
    <row r="9" spans="1:18" s="3" customFormat="1" ht="20" customHeight="1" x14ac:dyDescent="0.2">
      <c r="A9" s="52">
        <v>0</v>
      </c>
      <c r="B9" s="130" t="s">
        <v>68</v>
      </c>
      <c r="C9" s="130"/>
      <c r="D9" s="58">
        <v>1</v>
      </c>
      <c r="E9" s="53" t="s">
        <v>52</v>
      </c>
      <c r="F9" s="59">
        <f>C6*0.1</f>
        <v>139000</v>
      </c>
      <c r="G9" s="59">
        <f t="shared" ref="G9:G15" si="0">F9*D9</f>
        <v>139000</v>
      </c>
      <c r="H9" s="60">
        <v>1</v>
      </c>
      <c r="I9" s="61">
        <f t="shared" ref="I9:I15" si="1">H9*G9</f>
        <v>139000</v>
      </c>
      <c r="J9" s="62"/>
      <c r="K9" s="63">
        <f>J9*F9*D9</f>
        <v>0</v>
      </c>
      <c r="L9" s="60">
        <f t="shared" ref="L9:M15" si="2">J9+H9</f>
        <v>1</v>
      </c>
      <c r="M9" s="61">
        <f t="shared" si="2"/>
        <v>139000</v>
      </c>
      <c r="N9" s="62">
        <f t="shared" ref="N9:N12" si="3">D9/D9-L9</f>
        <v>0</v>
      </c>
      <c r="O9" s="54">
        <f t="shared" ref="O9:O12" si="4">N9*G9</f>
        <v>0</v>
      </c>
      <c r="Q9" s="50" t="s">
        <v>77</v>
      </c>
    </row>
    <row r="10" spans="1:18" s="3" customFormat="1" ht="20" customHeight="1" x14ac:dyDescent="0.2">
      <c r="A10" s="51">
        <v>1</v>
      </c>
      <c r="B10" s="125" t="s">
        <v>53</v>
      </c>
      <c r="C10" s="125"/>
      <c r="D10" s="64">
        <v>1</v>
      </c>
      <c r="E10" s="20" t="s">
        <v>52</v>
      </c>
      <c r="F10" s="65">
        <v>131400</v>
      </c>
      <c r="G10" s="65">
        <f t="shared" si="0"/>
        <v>131400</v>
      </c>
      <c r="H10" s="66">
        <v>0.31</v>
      </c>
      <c r="I10" s="67">
        <f t="shared" si="1"/>
        <v>40734</v>
      </c>
      <c r="J10" s="68">
        <v>0.69</v>
      </c>
      <c r="K10" s="69">
        <f>J10*F10*D10</f>
        <v>90666</v>
      </c>
      <c r="L10" s="66">
        <f t="shared" si="2"/>
        <v>1</v>
      </c>
      <c r="M10" s="67">
        <f t="shared" si="2"/>
        <v>131400</v>
      </c>
      <c r="N10" s="68">
        <f t="shared" si="3"/>
        <v>0</v>
      </c>
      <c r="O10" s="46">
        <f t="shared" si="4"/>
        <v>0</v>
      </c>
      <c r="Q10" s="50">
        <v>100</v>
      </c>
      <c r="R10" s="50">
        <f>Q10/100-L10</f>
        <v>0</v>
      </c>
    </row>
    <row r="11" spans="1:18" s="3" customFormat="1" ht="20" customHeight="1" x14ac:dyDescent="0.2">
      <c r="A11" s="51">
        <v>2</v>
      </c>
      <c r="B11" s="125" t="s">
        <v>64</v>
      </c>
      <c r="C11" s="125"/>
      <c r="D11" s="64">
        <v>1</v>
      </c>
      <c r="E11" s="20" t="s">
        <v>52</v>
      </c>
      <c r="F11" s="65">
        <v>354033</v>
      </c>
      <c r="G11" s="65">
        <f t="shared" si="0"/>
        <v>354033</v>
      </c>
      <c r="H11" s="66">
        <v>6.4000000000000001E-2</v>
      </c>
      <c r="I11" s="67">
        <f t="shared" si="1"/>
        <v>22658.112000000001</v>
      </c>
      <c r="J11" s="68">
        <v>0.71550000000000002</v>
      </c>
      <c r="K11" s="69">
        <f t="shared" ref="K11:K12" si="5">J11*F11*D11</f>
        <v>253310.6115</v>
      </c>
      <c r="L11" s="66">
        <f t="shared" si="2"/>
        <v>0.77950000000000008</v>
      </c>
      <c r="M11" s="67">
        <f t="shared" si="2"/>
        <v>275968.72350000002</v>
      </c>
      <c r="N11" s="68">
        <f t="shared" si="3"/>
        <v>0.22049999999999992</v>
      </c>
      <c r="O11" s="46">
        <f t="shared" si="4"/>
        <v>78064.276499999978</v>
      </c>
      <c r="Q11" s="50">
        <v>77.95</v>
      </c>
      <c r="R11" s="50">
        <f t="shared" ref="R11:R15" si="6">Q11/100-L11</f>
        <v>0</v>
      </c>
    </row>
    <row r="12" spans="1:18" s="3" customFormat="1" ht="20" customHeight="1" x14ac:dyDescent="0.2">
      <c r="A12" s="51">
        <v>3</v>
      </c>
      <c r="B12" s="125" t="s">
        <v>67</v>
      </c>
      <c r="C12" s="125"/>
      <c r="D12" s="64">
        <v>1</v>
      </c>
      <c r="E12" s="20" t="s">
        <v>52</v>
      </c>
      <c r="F12" s="65">
        <v>262948.5</v>
      </c>
      <c r="G12" s="65">
        <f t="shared" si="0"/>
        <v>262948.5</v>
      </c>
      <c r="H12" s="66">
        <v>0.29399999999999998</v>
      </c>
      <c r="I12" s="67">
        <f t="shared" si="1"/>
        <v>77306.858999999997</v>
      </c>
      <c r="J12" s="68">
        <v>0.10440000000000005</v>
      </c>
      <c r="K12" s="69">
        <f t="shared" si="5"/>
        <v>27451.823400000012</v>
      </c>
      <c r="L12" s="66">
        <f t="shared" si="2"/>
        <v>0.39840000000000003</v>
      </c>
      <c r="M12" s="67">
        <f t="shared" si="2"/>
        <v>104758.68240000001</v>
      </c>
      <c r="N12" s="68">
        <f t="shared" si="3"/>
        <v>0.60159999999999991</v>
      </c>
      <c r="O12" s="46">
        <f t="shared" si="4"/>
        <v>158189.81759999998</v>
      </c>
      <c r="Q12" s="50">
        <v>39.840000000000003</v>
      </c>
      <c r="R12" s="50">
        <f t="shared" si="6"/>
        <v>0</v>
      </c>
    </row>
    <row r="13" spans="1:18" s="3" customFormat="1" ht="20" customHeight="1" x14ac:dyDescent="0.2">
      <c r="A13" s="51">
        <v>4</v>
      </c>
      <c r="B13" s="125" t="s">
        <v>65</v>
      </c>
      <c r="C13" s="125"/>
      <c r="D13" s="64">
        <v>1</v>
      </c>
      <c r="E13" s="20" t="s">
        <v>52</v>
      </c>
      <c r="F13" s="65">
        <v>275467.5</v>
      </c>
      <c r="G13" s="65">
        <f t="shared" si="0"/>
        <v>275467.5</v>
      </c>
      <c r="H13" s="66">
        <v>0.315</v>
      </c>
      <c r="I13" s="67">
        <f t="shared" si="1"/>
        <v>86772.262499999997</v>
      </c>
      <c r="J13" s="68">
        <v>0.43099999999999999</v>
      </c>
      <c r="K13" s="69">
        <f>J13*F13*D13</f>
        <v>118726.49249999999</v>
      </c>
      <c r="L13" s="66">
        <f t="shared" si="2"/>
        <v>0.746</v>
      </c>
      <c r="M13" s="67">
        <f>K13+I13</f>
        <v>205498.755</v>
      </c>
      <c r="N13" s="68">
        <f>D13/D13-L13</f>
        <v>0.254</v>
      </c>
      <c r="O13" s="46">
        <f>N13*G13</f>
        <v>69968.744999999995</v>
      </c>
      <c r="Q13" s="50">
        <v>74.599999999999994</v>
      </c>
      <c r="R13" s="50">
        <f t="shared" si="6"/>
        <v>0</v>
      </c>
    </row>
    <row r="14" spans="1:18" s="3" customFormat="1" ht="20" customHeight="1" x14ac:dyDescent="0.2">
      <c r="A14" s="51">
        <v>5</v>
      </c>
      <c r="B14" s="125" t="s">
        <v>66</v>
      </c>
      <c r="C14" s="125"/>
      <c r="D14" s="64">
        <v>1</v>
      </c>
      <c r="E14" s="20" t="s">
        <v>52</v>
      </c>
      <c r="F14" s="65">
        <v>217570.5</v>
      </c>
      <c r="G14" s="65">
        <f t="shared" si="0"/>
        <v>217570.5</v>
      </c>
      <c r="H14" s="66">
        <v>0.215</v>
      </c>
      <c r="I14" s="67">
        <f t="shared" si="1"/>
        <v>46777.657500000001</v>
      </c>
      <c r="J14" s="68">
        <v>0.24860000000000002</v>
      </c>
      <c r="K14" s="69">
        <f>J14*F14*D14</f>
        <v>54088.026300000005</v>
      </c>
      <c r="L14" s="66">
        <f t="shared" si="2"/>
        <v>0.46360000000000001</v>
      </c>
      <c r="M14" s="67">
        <f t="shared" si="2"/>
        <v>100865.6838</v>
      </c>
      <c r="N14" s="68">
        <f t="shared" ref="N14:N15" si="7">D14/D14-L14</f>
        <v>0.53639999999999999</v>
      </c>
      <c r="O14" s="46">
        <f t="shared" ref="O14:O15" si="8">N14*G14</f>
        <v>116704.8162</v>
      </c>
      <c r="Q14" s="50">
        <v>46.36</v>
      </c>
      <c r="R14" s="50">
        <f t="shared" si="6"/>
        <v>0</v>
      </c>
    </row>
    <row r="15" spans="1:18" s="3" customFormat="1" ht="20" customHeight="1" thickBot="1" x14ac:dyDescent="0.25">
      <c r="A15" s="55">
        <v>6</v>
      </c>
      <c r="B15" s="137" t="s">
        <v>63</v>
      </c>
      <c r="C15" s="137"/>
      <c r="D15" s="70">
        <v>1</v>
      </c>
      <c r="E15" s="47" t="s">
        <v>52</v>
      </c>
      <c r="F15" s="71">
        <v>9580.5</v>
      </c>
      <c r="G15" s="71">
        <f t="shared" si="0"/>
        <v>9580.5</v>
      </c>
      <c r="H15" s="72">
        <v>0</v>
      </c>
      <c r="I15" s="73">
        <f t="shared" si="1"/>
        <v>0</v>
      </c>
      <c r="J15" s="74">
        <v>0</v>
      </c>
      <c r="K15" s="75">
        <f>J15*F15*D15</f>
        <v>0</v>
      </c>
      <c r="L15" s="72">
        <f t="shared" si="2"/>
        <v>0</v>
      </c>
      <c r="M15" s="73">
        <f t="shared" si="2"/>
        <v>0</v>
      </c>
      <c r="N15" s="74">
        <f t="shared" si="7"/>
        <v>1</v>
      </c>
      <c r="O15" s="48">
        <f t="shared" si="8"/>
        <v>9580.5</v>
      </c>
      <c r="Q15" s="50">
        <v>0</v>
      </c>
      <c r="R15" s="50">
        <f t="shared" si="6"/>
        <v>0</v>
      </c>
    </row>
    <row r="16" spans="1:18" s="2" customFormat="1" ht="20.149999999999999" customHeight="1" thickBot="1" x14ac:dyDescent="0.3">
      <c r="A16" s="131" t="s">
        <v>16</v>
      </c>
      <c r="B16" s="132"/>
      <c r="C16" s="132"/>
      <c r="D16" s="132"/>
      <c r="E16" s="132"/>
      <c r="F16" s="133"/>
      <c r="G16" s="40">
        <f>SUBTOTAL(9,G9:G15)</f>
        <v>1390000</v>
      </c>
      <c r="H16" s="41">
        <f>I16/C6</f>
        <v>0.29730136043165473</v>
      </c>
      <c r="I16" s="40">
        <f>SUBTOTAL(9,I9:I15)</f>
        <v>413248.89100000006</v>
      </c>
      <c r="J16" s="42">
        <f>K16/C6</f>
        <v>0.39154169330935251</v>
      </c>
      <c r="K16" s="43">
        <f>SUBTOTAL(9,K9:K15)</f>
        <v>544242.95369999995</v>
      </c>
      <c r="L16" s="41">
        <f>M16/C6</f>
        <v>0.68884305374100729</v>
      </c>
      <c r="M16" s="44">
        <f>SUBTOTAL(9,M9:M15)</f>
        <v>957491.84470000013</v>
      </c>
      <c r="N16" s="42">
        <f>O16/C6</f>
        <v>0.31115694625899282</v>
      </c>
      <c r="O16" s="45">
        <f>SUBTOTAL(9,O9:O15)</f>
        <v>432508.15529999998</v>
      </c>
      <c r="Q16" s="50"/>
    </row>
    <row r="17" spans="1:15" ht="20.3" customHeight="1" thickBot="1" x14ac:dyDescent="0.3">
      <c r="A17" s="134" t="s">
        <v>10</v>
      </c>
      <c r="B17" s="135"/>
      <c r="C17" s="135"/>
      <c r="D17" s="135"/>
      <c r="E17" s="135"/>
      <c r="F17" s="135"/>
      <c r="G17" s="135"/>
      <c r="H17" s="135"/>
      <c r="I17" s="136"/>
      <c r="J17" s="138"/>
      <c r="K17" s="139"/>
      <c r="L17" s="139"/>
      <c r="M17" s="140"/>
      <c r="N17" s="5"/>
      <c r="O17" s="6"/>
    </row>
    <row r="18" spans="1:15" ht="20.95" customHeight="1" thickBot="1" x14ac:dyDescent="0.25">
      <c r="A18" s="32"/>
      <c r="B18" s="33"/>
      <c r="C18" s="33"/>
      <c r="D18" s="33"/>
      <c r="E18" s="33"/>
      <c r="F18" s="33"/>
      <c r="G18" s="141" t="s">
        <v>22</v>
      </c>
      <c r="H18" s="141"/>
      <c r="I18" s="142"/>
      <c r="J18" s="143">
        <f>K16</f>
        <v>544242.95369999995</v>
      </c>
      <c r="K18" s="144"/>
      <c r="L18" s="144"/>
      <c r="M18" s="145"/>
      <c r="N18" s="13"/>
      <c r="O18" s="14"/>
    </row>
    <row r="19" spans="1:15" ht="29.3" customHeight="1" x14ac:dyDescent="0.2">
      <c r="A19" s="7"/>
      <c r="B19" s="156" t="s">
        <v>54</v>
      </c>
      <c r="C19" s="156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8"/>
    </row>
    <row r="20" spans="1:15" x14ac:dyDescent="0.2">
      <c r="A20" s="9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8"/>
    </row>
    <row r="21" spans="1:15" ht="73" customHeight="1" thickBot="1" x14ac:dyDescent="0.2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2"/>
    </row>
    <row r="22" spans="1:15" ht="8.1999999999999993" customHeight="1" thickBot="1" x14ac:dyDescent="0.25"/>
    <row r="23" spans="1:15" ht="17.7" x14ac:dyDescent="0.2">
      <c r="A23" s="146" t="s">
        <v>76</v>
      </c>
      <c r="B23" s="147"/>
      <c r="C23" s="147"/>
      <c r="D23" s="148"/>
      <c r="E23" s="148"/>
      <c r="F23" s="147"/>
      <c r="G23" s="147"/>
      <c r="H23" s="147"/>
      <c r="I23" s="147"/>
      <c r="J23" s="147"/>
      <c r="K23" s="147"/>
      <c r="L23" s="147"/>
      <c r="M23" s="147"/>
      <c r="N23" s="147"/>
      <c r="O23" s="149"/>
    </row>
    <row r="24" spans="1:15" ht="15.05" x14ac:dyDescent="0.2">
      <c r="A24" s="150" t="s">
        <v>25</v>
      </c>
      <c r="B24" s="151"/>
      <c r="C24" s="77">
        <f>G16</f>
        <v>1390000</v>
      </c>
      <c r="D24" s="152" t="s">
        <v>69</v>
      </c>
      <c r="E24" s="153"/>
      <c r="F24" s="26">
        <v>139000</v>
      </c>
      <c r="G24" s="25"/>
      <c r="H24" s="154"/>
      <c r="I24" s="155"/>
      <c r="J24" s="25" t="s">
        <v>47</v>
      </c>
      <c r="K24" s="26">
        <v>0</v>
      </c>
      <c r="L24" s="25" t="s">
        <v>48</v>
      </c>
      <c r="M24" s="26">
        <v>0</v>
      </c>
      <c r="N24" s="25" t="s">
        <v>49</v>
      </c>
      <c r="O24" s="29">
        <v>0</v>
      </c>
    </row>
    <row r="25" spans="1:15" ht="15.05" x14ac:dyDescent="0.2">
      <c r="A25" s="150" t="s">
        <v>50</v>
      </c>
      <c r="B25" s="151"/>
      <c r="C25" s="77">
        <f>SUM(F24:F28,H24:I28)</f>
        <v>1390418.8909999998</v>
      </c>
      <c r="D25" s="152" t="s">
        <v>26</v>
      </c>
      <c r="E25" s="153"/>
      <c r="F25" s="26">
        <v>274248.89099999995</v>
      </c>
      <c r="G25" s="25" t="s">
        <v>27</v>
      </c>
      <c r="H25" s="154">
        <v>0</v>
      </c>
      <c r="I25" s="155"/>
      <c r="J25" s="25" t="s">
        <v>28</v>
      </c>
      <c r="K25" s="26">
        <v>0</v>
      </c>
      <c r="L25" s="25" t="s">
        <v>29</v>
      </c>
      <c r="M25" s="26">
        <v>0</v>
      </c>
      <c r="N25" s="25" t="s">
        <v>30</v>
      </c>
      <c r="O25" s="29">
        <v>0</v>
      </c>
    </row>
    <row r="26" spans="1:15" ht="15.05" x14ac:dyDescent="0.2">
      <c r="A26" s="150" t="s">
        <v>36</v>
      </c>
      <c r="B26" s="151"/>
      <c r="C26" s="77">
        <f>C24-C25+418.89</f>
        <v>-9.9999982865028869E-4</v>
      </c>
      <c r="D26" s="152" t="s">
        <v>31</v>
      </c>
      <c r="E26" s="153"/>
      <c r="F26" s="26">
        <v>977170</v>
      </c>
      <c r="G26" s="25" t="s">
        <v>32</v>
      </c>
      <c r="H26" s="154">
        <v>0</v>
      </c>
      <c r="I26" s="155"/>
      <c r="J26" s="25" t="s">
        <v>33</v>
      </c>
      <c r="K26" s="26">
        <v>0</v>
      </c>
      <c r="L26" s="25" t="s">
        <v>34</v>
      </c>
      <c r="M26" s="26">
        <v>0</v>
      </c>
      <c r="N26" s="25" t="s">
        <v>35</v>
      </c>
      <c r="O26" s="29">
        <v>0</v>
      </c>
    </row>
    <row r="27" spans="1:15" ht="15.05" x14ac:dyDescent="0.2">
      <c r="A27" s="150"/>
      <c r="B27" s="151"/>
      <c r="C27" s="27"/>
      <c r="D27" s="152" t="s">
        <v>37</v>
      </c>
      <c r="E27" s="153"/>
      <c r="F27" s="26">
        <v>0</v>
      </c>
      <c r="G27" s="25" t="s">
        <v>38</v>
      </c>
      <c r="H27" s="154">
        <v>0</v>
      </c>
      <c r="I27" s="155"/>
      <c r="J27" s="25" t="s">
        <v>39</v>
      </c>
      <c r="K27" s="26">
        <v>0</v>
      </c>
      <c r="L27" s="25" t="s">
        <v>40</v>
      </c>
      <c r="M27" s="26">
        <v>0</v>
      </c>
      <c r="N27" s="25" t="s">
        <v>41</v>
      </c>
      <c r="O27" s="29">
        <v>0</v>
      </c>
    </row>
    <row r="28" spans="1:15" ht="15.05" x14ac:dyDescent="0.2">
      <c r="A28" s="150"/>
      <c r="B28" s="151"/>
      <c r="C28" s="27"/>
      <c r="D28" s="152" t="s">
        <v>42</v>
      </c>
      <c r="E28" s="153"/>
      <c r="F28" s="26">
        <v>0</v>
      </c>
      <c r="G28" s="25" t="s">
        <v>43</v>
      </c>
      <c r="H28" s="154">
        <v>0</v>
      </c>
      <c r="I28" s="155"/>
      <c r="J28" s="25" t="s">
        <v>44</v>
      </c>
      <c r="K28" s="26">
        <v>0</v>
      </c>
      <c r="L28" s="25" t="s">
        <v>45</v>
      </c>
      <c r="M28" s="26">
        <v>0</v>
      </c>
      <c r="N28" s="25" t="s">
        <v>46</v>
      </c>
      <c r="O28" s="29">
        <v>0</v>
      </c>
    </row>
    <row r="29" spans="1:15" ht="18.350000000000001" thickBot="1" x14ac:dyDescent="0.25">
      <c r="A29" s="21"/>
      <c r="B29" s="22"/>
      <c r="C29" s="22"/>
      <c r="D29" s="22"/>
      <c r="E29" s="22"/>
      <c r="F29" s="31"/>
      <c r="G29" s="31"/>
      <c r="H29" s="23"/>
      <c r="I29" s="30"/>
      <c r="J29" s="22"/>
      <c r="K29" s="22"/>
      <c r="L29" s="22"/>
      <c r="M29" s="22"/>
      <c r="N29" s="22"/>
      <c r="O29" s="24"/>
    </row>
    <row r="30" spans="1:15" ht="8.1999999999999993" customHeight="1" thickBot="1" x14ac:dyDescent="0.25"/>
    <row r="31" spans="1:15" ht="17.7" x14ac:dyDescent="0.2">
      <c r="A31" s="157" t="s">
        <v>73</v>
      </c>
      <c r="B31" s="158"/>
      <c r="C31" s="158"/>
      <c r="D31" s="159"/>
      <c r="E31" s="159"/>
      <c r="F31" s="158"/>
      <c r="G31" s="158"/>
      <c r="H31" s="158"/>
      <c r="I31" s="158"/>
      <c r="J31" s="158"/>
      <c r="K31" s="158"/>
      <c r="L31" s="158"/>
      <c r="M31" s="158"/>
      <c r="N31" s="158"/>
      <c r="O31" s="160"/>
    </row>
    <row r="32" spans="1:15" ht="15.05" x14ac:dyDescent="0.2">
      <c r="A32" s="150" t="s">
        <v>25</v>
      </c>
      <c r="B32" s="151"/>
      <c r="C32" s="77">
        <f>G16</f>
        <v>1390000</v>
      </c>
      <c r="D32" s="152" t="s">
        <v>69</v>
      </c>
      <c r="E32" s="153"/>
      <c r="F32" s="26">
        <v>139000</v>
      </c>
      <c r="G32" s="25" t="s">
        <v>75</v>
      </c>
      <c r="H32" s="154"/>
      <c r="I32" s="155"/>
      <c r="J32" s="25" t="s">
        <v>47</v>
      </c>
      <c r="K32" s="26">
        <v>0</v>
      </c>
      <c r="L32" s="25" t="s">
        <v>48</v>
      </c>
      <c r="M32" s="26">
        <v>0</v>
      </c>
      <c r="N32" s="25" t="s">
        <v>49</v>
      </c>
      <c r="O32" s="29">
        <v>0</v>
      </c>
    </row>
    <row r="33" spans="1:15" ht="15.05" x14ac:dyDescent="0.2">
      <c r="A33" s="150" t="s">
        <v>50</v>
      </c>
      <c r="B33" s="151"/>
      <c r="C33" s="77">
        <f>M16</f>
        <v>957491.84470000013</v>
      </c>
      <c r="D33" s="152" t="s">
        <v>26</v>
      </c>
      <c r="E33" s="153"/>
      <c r="F33" s="26">
        <v>274248.89099999995</v>
      </c>
      <c r="G33" s="25" t="s">
        <v>27</v>
      </c>
      <c r="H33" s="154">
        <v>0</v>
      </c>
      <c r="I33" s="155"/>
      <c r="J33" s="25" t="s">
        <v>28</v>
      </c>
      <c r="K33" s="26">
        <v>0</v>
      </c>
      <c r="L33" s="25" t="s">
        <v>29</v>
      </c>
      <c r="M33" s="26">
        <v>0</v>
      </c>
      <c r="N33" s="25" t="s">
        <v>30</v>
      </c>
      <c r="O33" s="29">
        <v>0</v>
      </c>
    </row>
    <row r="34" spans="1:15" ht="15.05" x14ac:dyDescent="0.2">
      <c r="A34" s="150" t="s">
        <v>36</v>
      </c>
      <c r="B34" s="151"/>
      <c r="C34" s="77">
        <f>O16</f>
        <v>432508.15529999998</v>
      </c>
      <c r="D34" s="152" t="s">
        <v>31</v>
      </c>
      <c r="E34" s="153"/>
      <c r="F34" s="26">
        <f>K16</f>
        <v>544242.95369999995</v>
      </c>
      <c r="G34" s="25" t="s">
        <v>32</v>
      </c>
      <c r="H34" s="154">
        <v>0</v>
      </c>
      <c r="I34" s="155"/>
      <c r="J34" s="25" t="s">
        <v>33</v>
      </c>
      <c r="K34" s="26">
        <v>0</v>
      </c>
      <c r="L34" s="25" t="s">
        <v>34</v>
      </c>
      <c r="M34" s="26">
        <v>0</v>
      </c>
      <c r="N34" s="25" t="s">
        <v>35</v>
      </c>
      <c r="O34" s="29">
        <v>0</v>
      </c>
    </row>
    <row r="35" spans="1:15" ht="15.05" x14ac:dyDescent="0.2">
      <c r="A35" s="150" t="s">
        <v>74</v>
      </c>
      <c r="B35" s="151"/>
      <c r="C35" s="80">
        <f>C26-C34</f>
        <v>-432508.1562999998</v>
      </c>
      <c r="D35" s="152" t="s">
        <v>37</v>
      </c>
      <c r="E35" s="153"/>
      <c r="F35" s="26">
        <v>0</v>
      </c>
      <c r="G35" s="25" t="s">
        <v>38</v>
      </c>
      <c r="H35" s="154">
        <v>0</v>
      </c>
      <c r="I35" s="155"/>
      <c r="J35" s="25" t="s">
        <v>39</v>
      </c>
      <c r="K35" s="26">
        <v>0</v>
      </c>
      <c r="L35" s="25" t="s">
        <v>40</v>
      </c>
      <c r="M35" s="26">
        <v>0</v>
      </c>
      <c r="N35" s="25" t="s">
        <v>41</v>
      </c>
      <c r="O35" s="29">
        <v>0</v>
      </c>
    </row>
    <row r="36" spans="1:15" ht="15.05" x14ac:dyDescent="0.2">
      <c r="A36" s="150"/>
      <c r="B36" s="151"/>
      <c r="C36" s="27"/>
      <c r="D36" s="152" t="s">
        <v>42</v>
      </c>
      <c r="E36" s="153"/>
      <c r="F36" s="26">
        <v>0</v>
      </c>
      <c r="G36" s="25" t="s">
        <v>43</v>
      </c>
      <c r="H36" s="154">
        <v>0</v>
      </c>
      <c r="I36" s="155"/>
      <c r="J36" s="25" t="s">
        <v>44</v>
      </c>
      <c r="K36" s="26">
        <v>0</v>
      </c>
      <c r="L36" s="25" t="s">
        <v>45</v>
      </c>
      <c r="M36" s="26">
        <v>0</v>
      </c>
      <c r="N36" s="25" t="s">
        <v>46</v>
      </c>
      <c r="O36" s="29">
        <v>0</v>
      </c>
    </row>
    <row r="37" spans="1:15" ht="18.350000000000001" thickBot="1" x14ac:dyDescent="0.25">
      <c r="A37" s="21"/>
      <c r="B37" s="22"/>
      <c r="C37" s="22"/>
      <c r="D37" s="22"/>
      <c r="E37" s="22"/>
      <c r="F37" s="31"/>
      <c r="G37" s="31"/>
      <c r="H37" s="23"/>
      <c r="I37" s="30"/>
      <c r="J37" s="22"/>
      <c r="K37" s="22"/>
      <c r="L37" s="22"/>
      <c r="M37" s="22"/>
      <c r="N37" s="22"/>
      <c r="O37" s="24"/>
    </row>
    <row r="39" spans="1:15" x14ac:dyDescent="0.2">
      <c r="C39" s="49"/>
    </row>
    <row r="40" spans="1:15" x14ac:dyDescent="0.2">
      <c r="C40" s="49"/>
      <c r="F40" s="49">
        <f>F27*0.7</f>
        <v>0</v>
      </c>
    </row>
    <row r="41" spans="1:15" x14ac:dyDescent="0.2">
      <c r="C41" s="49"/>
      <c r="F41" s="49">
        <f>F27-F40</f>
        <v>0</v>
      </c>
    </row>
    <row r="42" spans="1:15" x14ac:dyDescent="0.2">
      <c r="C42" s="49"/>
      <c r="F42" s="49">
        <f>F41*0.11</f>
        <v>0</v>
      </c>
    </row>
    <row r="43" spans="1:15" x14ac:dyDescent="0.2">
      <c r="C43" s="49"/>
    </row>
    <row r="44" spans="1:15" x14ac:dyDescent="0.2">
      <c r="C44" s="49"/>
    </row>
    <row r="45" spans="1:15" x14ac:dyDescent="0.2">
      <c r="C45" s="49"/>
    </row>
    <row r="46" spans="1:15" x14ac:dyDescent="0.2">
      <c r="C46" s="49"/>
    </row>
  </sheetData>
  <mergeCells count="73">
    <mergeCell ref="A1:O1"/>
    <mergeCell ref="A2:O2"/>
    <mergeCell ref="A3:B3"/>
    <mergeCell ref="C3:E3"/>
    <mergeCell ref="G3:L3"/>
    <mergeCell ref="N3:O3"/>
    <mergeCell ref="A4:B4"/>
    <mergeCell ref="C4:E4"/>
    <mergeCell ref="G4:L4"/>
    <mergeCell ref="N4:O4"/>
    <mergeCell ref="A5:B5"/>
    <mergeCell ref="C5:E5"/>
    <mergeCell ref="G5:L5"/>
    <mergeCell ref="N5:O5"/>
    <mergeCell ref="B10:C10"/>
    <mergeCell ref="A6:B6"/>
    <mergeCell ref="C6:E6"/>
    <mergeCell ref="G6:L6"/>
    <mergeCell ref="N6:O6"/>
    <mergeCell ref="A7:A8"/>
    <mergeCell ref="B7:C8"/>
    <mergeCell ref="D7:D8"/>
    <mergeCell ref="E7:E8"/>
    <mergeCell ref="F7:F8"/>
    <mergeCell ref="G7:G8"/>
    <mergeCell ref="H7:I7"/>
    <mergeCell ref="J7:K7"/>
    <mergeCell ref="L7:M7"/>
    <mergeCell ref="N7:O7"/>
    <mergeCell ref="B9:C9"/>
    <mergeCell ref="A23:O23"/>
    <mergeCell ref="B11:C11"/>
    <mergeCell ref="B12:C12"/>
    <mergeCell ref="B13:C13"/>
    <mergeCell ref="B14:C14"/>
    <mergeCell ref="B15:C15"/>
    <mergeCell ref="A16:F16"/>
    <mergeCell ref="A17:I17"/>
    <mergeCell ref="J17:M17"/>
    <mergeCell ref="G18:I18"/>
    <mergeCell ref="J18:M18"/>
    <mergeCell ref="B19:C19"/>
    <mergeCell ref="A24:B24"/>
    <mergeCell ref="D24:E24"/>
    <mergeCell ref="H24:I24"/>
    <mergeCell ref="A25:B25"/>
    <mergeCell ref="D25:E25"/>
    <mergeCell ref="H25:I25"/>
    <mergeCell ref="A26:B26"/>
    <mergeCell ref="D26:E26"/>
    <mergeCell ref="H26:I26"/>
    <mergeCell ref="A27:B27"/>
    <mergeCell ref="D27:E27"/>
    <mergeCell ref="H27:I27"/>
    <mergeCell ref="A28:B28"/>
    <mergeCell ref="D28:E28"/>
    <mergeCell ref="H28:I28"/>
    <mergeCell ref="A31:O31"/>
    <mergeCell ref="A32:B32"/>
    <mergeCell ref="D32:E32"/>
    <mergeCell ref="H32:I32"/>
    <mergeCell ref="A33:B33"/>
    <mergeCell ref="D33:E33"/>
    <mergeCell ref="H33:I33"/>
    <mergeCell ref="A34:B34"/>
    <mergeCell ref="D34:E34"/>
    <mergeCell ref="H34:I34"/>
    <mergeCell ref="A35:B35"/>
    <mergeCell ref="D35:E35"/>
    <mergeCell ref="H35:I35"/>
    <mergeCell ref="A36:B36"/>
    <mergeCell ref="D36:E36"/>
    <mergeCell ref="H36:I36"/>
  </mergeCells>
  <phoneticPr fontId="18" type="noConversion"/>
  <printOptions horizontalCentered="1" verticalCentered="1" gridLines="1"/>
  <pageMargins left="0.23622047244094491" right="3.937007874015748E-2" top="0.19685039370078741" bottom="0.15748031496062992" header="0.31496062992125984" footer="0.31496062992125984"/>
  <pageSetup paperSize="9" scale="48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4" name="Option Button 1">
              <controlPr defaultSize="0" autoFill="0" autoLine="0" autoPict="0">
                <anchor moveWithCells="1">
                  <from>
                    <xdr:col>14</xdr:col>
                    <xdr:colOff>382385</xdr:colOff>
                    <xdr:row>2</xdr:row>
                    <xdr:rowOff>0</xdr:rowOff>
                  </from>
                  <to>
                    <xdr:col>14</xdr:col>
                    <xdr:colOff>1055716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8" r:id="rId5" name="Option Button 2">
              <controlPr defaultSize="0" autoFill="0" autoLine="0" autoPict="0">
                <anchor moveWithCells="1">
                  <from>
                    <xdr:col>13</xdr:col>
                    <xdr:colOff>507076</xdr:colOff>
                    <xdr:row>1</xdr:row>
                    <xdr:rowOff>232756</xdr:rowOff>
                  </from>
                  <to>
                    <xdr:col>14</xdr:col>
                    <xdr:colOff>49876</xdr:colOff>
                    <xdr:row>3</xdr:row>
                    <xdr:rowOff>8313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F46D0-B180-4356-8B81-830A0C94A348}">
  <dimension ref="A1:R46"/>
  <sheetViews>
    <sheetView showGridLines="0" tabSelected="1" zoomScale="70" zoomScaleNormal="70" zoomScaleSheetLayoutView="70" zoomScalePageLayoutView="50" workbookViewId="0">
      <selection sqref="A1:O1"/>
    </sheetView>
  </sheetViews>
  <sheetFormatPr defaultRowHeight="12.45" x14ac:dyDescent="0.2"/>
  <cols>
    <col min="1" max="1" width="8.25" customWidth="1"/>
    <col min="2" max="2" width="31.125" customWidth="1"/>
    <col min="3" max="3" width="29.625" customWidth="1"/>
    <col min="4" max="5" width="7.625" customWidth="1"/>
    <col min="6" max="6" width="24.625" customWidth="1"/>
    <col min="7" max="7" width="21" customWidth="1"/>
    <col min="8" max="8" width="11" customWidth="1"/>
    <col min="9" max="9" width="21.375" customWidth="1"/>
    <col min="10" max="10" width="14" customWidth="1"/>
    <col min="11" max="11" width="26.125" customWidth="1"/>
    <col min="12" max="12" width="12.625" customWidth="1"/>
    <col min="13" max="13" width="24.875" customWidth="1"/>
    <col min="14" max="14" width="16.125" bestFit="1" customWidth="1"/>
    <col min="15" max="15" width="26" bestFit="1" customWidth="1"/>
    <col min="17" max="17" width="10" bestFit="1" customWidth="1"/>
    <col min="18" max="18" width="11" bestFit="1" customWidth="1"/>
  </cols>
  <sheetData>
    <row r="1" spans="1:18" ht="64.5" customHeight="1" thickBot="1" x14ac:dyDescent="0.25">
      <c r="A1" s="81" t="s">
        <v>11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3"/>
    </row>
    <row r="2" spans="1:18" ht="20.149999999999999" customHeight="1" x14ac:dyDescent="0.2">
      <c r="A2" s="84" t="s">
        <v>61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</row>
    <row r="3" spans="1:18" ht="20.149999999999999" customHeight="1" x14ac:dyDescent="0.2">
      <c r="A3" s="87" t="s">
        <v>0</v>
      </c>
      <c r="B3" s="88"/>
      <c r="C3" s="89" t="s">
        <v>54</v>
      </c>
      <c r="D3" s="89"/>
      <c r="E3" s="89"/>
      <c r="F3" s="15" t="s">
        <v>1</v>
      </c>
      <c r="G3" s="90" t="s">
        <v>60</v>
      </c>
      <c r="H3" s="91"/>
      <c r="I3" s="91"/>
      <c r="J3" s="91"/>
      <c r="K3" s="91"/>
      <c r="L3" s="92"/>
      <c r="M3" s="18" t="s">
        <v>19</v>
      </c>
      <c r="N3" s="93"/>
      <c r="O3" s="94"/>
    </row>
    <row r="4" spans="1:18" ht="20.149999999999999" customHeight="1" x14ac:dyDescent="0.2">
      <c r="A4" s="95" t="s">
        <v>23</v>
      </c>
      <c r="B4" s="96"/>
      <c r="C4" s="97" t="s">
        <v>59</v>
      </c>
      <c r="D4" s="97"/>
      <c r="E4" s="97"/>
      <c r="F4" s="15"/>
      <c r="G4" s="98"/>
      <c r="H4" s="98"/>
      <c r="I4" s="98"/>
      <c r="J4" s="98"/>
      <c r="K4" s="98"/>
      <c r="L4" s="98"/>
      <c r="M4" s="18" t="s">
        <v>18</v>
      </c>
      <c r="N4" s="99">
        <v>0</v>
      </c>
      <c r="O4" s="94"/>
    </row>
    <row r="5" spans="1:18" ht="20.149999999999999" customHeight="1" x14ac:dyDescent="0.2">
      <c r="A5" s="95" t="s">
        <v>55</v>
      </c>
      <c r="B5" s="96"/>
      <c r="C5" s="97">
        <v>4509922973</v>
      </c>
      <c r="D5" s="97"/>
      <c r="E5" s="97"/>
      <c r="F5" s="16" t="s">
        <v>12</v>
      </c>
      <c r="G5" s="100" t="s">
        <v>79</v>
      </c>
      <c r="H5" s="100"/>
      <c r="I5" s="100"/>
      <c r="J5" s="100"/>
      <c r="K5" s="100"/>
      <c r="L5" s="100"/>
      <c r="M5" s="18" t="s">
        <v>2</v>
      </c>
      <c r="N5" s="101">
        <v>46165</v>
      </c>
      <c r="O5" s="94"/>
    </row>
    <row r="6" spans="1:18" ht="20.149999999999999" customHeight="1" thickBot="1" x14ac:dyDescent="0.25">
      <c r="A6" s="104" t="s">
        <v>56</v>
      </c>
      <c r="B6" s="105"/>
      <c r="C6" s="106">
        <v>1390000</v>
      </c>
      <c r="D6" s="107"/>
      <c r="E6" s="107"/>
      <c r="F6" s="17" t="s">
        <v>24</v>
      </c>
      <c r="G6" s="108" t="s">
        <v>80</v>
      </c>
      <c r="H6" s="109"/>
      <c r="I6" s="109"/>
      <c r="J6" s="109"/>
      <c r="K6" s="109"/>
      <c r="L6" s="110"/>
      <c r="M6" s="19" t="s">
        <v>13</v>
      </c>
      <c r="N6" s="111" t="s">
        <v>62</v>
      </c>
      <c r="O6" s="112"/>
    </row>
    <row r="7" spans="1:18" s="1" customFormat="1" ht="24.05" customHeight="1" x14ac:dyDescent="0.25">
      <c r="A7" s="113" t="s">
        <v>5</v>
      </c>
      <c r="B7" s="115" t="s">
        <v>6</v>
      </c>
      <c r="C7" s="116"/>
      <c r="D7" s="119" t="s">
        <v>7</v>
      </c>
      <c r="E7" s="121" t="s">
        <v>8</v>
      </c>
      <c r="F7" s="119" t="s">
        <v>20</v>
      </c>
      <c r="G7" s="123" t="s">
        <v>21</v>
      </c>
      <c r="H7" s="126" t="s">
        <v>14</v>
      </c>
      <c r="I7" s="127"/>
      <c r="J7" s="128" t="s">
        <v>15</v>
      </c>
      <c r="K7" s="128"/>
      <c r="L7" s="129" t="s">
        <v>17</v>
      </c>
      <c r="M7" s="103"/>
      <c r="N7" s="102" t="s">
        <v>4</v>
      </c>
      <c r="O7" s="103"/>
    </row>
    <row r="8" spans="1:18" s="1" customFormat="1" ht="15.05" customHeight="1" thickBot="1" x14ac:dyDescent="0.3">
      <c r="A8" s="114"/>
      <c r="B8" s="117"/>
      <c r="C8" s="118"/>
      <c r="D8" s="120"/>
      <c r="E8" s="122"/>
      <c r="F8" s="120"/>
      <c r="G8" s="124"/>
      <c r="H8" s="79" t="s">
        <v>7</v>
      </c>
      <c r="I8" s="35" t="s">
        <v>9</v>
      </c>
      <c r="J8" s="36" t="s">
        <v>7</v>
      </c>
      <c r="K8" s="37" t="s">
        <v>3</v>
      </c>
      <c r="L8" s="79" t="s">
        <v>7</v>
      </c>
      <c r="M8" s="35" t="s">
        <v>3</v>
      </c>
      <c r="N8" s="38" t="s">
        <v>7</v>
      </c>
      <c r="O8" s="39" t="s">
        <v>9</v>
      </c>
    </row>
    <row r="9" spans="1:18" s="3" customFormat="1" ht="20" customHeight="1" x14ac:dyDescent="0.2">
      <c r="A9" s="52">
        <v>0</v>
      </c>
      <c r="B9" s="130" t="s">
        <v>68</v>
      </c>
      <c r="C9" s="130"/>
      <c r="D9" s="58">
        <v>1</v>
      </c>
      <c r="E9" s="53" t="s">
        <v>52</v>
      </c>
      <c r="F9" s="59">
        <f>C6*0.1</f>
        <v>139000</v>
      </c>
      <c r="G9" s="59">
        <f t="shared" ref="G9:G15" si="0">F9*D9</f>
        <v>139000</v>
      </c>
      <c r="H9" s="60">
        <v>1</v>
      </c>
      <c r="I9" s="61">
        <f t="shared" ref="I9:I15" si="1">H9*G9</f>
        <v>139000</v>
      </c>
      <c r="J9" s="62"/>
      <c r="K9" s="63">
        <f>J9*F9*D9</f>
        <v>0</v>
      </c>
      <c r="L9" s="60">
        <f t="shared" ref="L9:M15" si="2">J9+H9</f>
        <v>1</v>
      </c>
      <c r="M9" s="61">
        <f t="shared" si="2"/>
        <v>139000</v>
      </c>
      <c r="N9" s="62">
        <f t="shared" ref="N9:N12" si="3">D9/D9-L9</f>
        <v>0</v>
      </c>
      <c r="O9" s="54">
        <f t="shared" ref="O9:O12" si="4">N9*G9</f>
        <v>0</v>
      </c>
      <c r="Q9" s="50" t="s">
        <v>77</v>
      </c>
    </row>
    <row r="10" spans="1:18" s="3" customFormat="1" ht="20" customHeight="1" x14ac:dyDescent="0.2">
      <c r="A10" s="51">
        <v>1</v>
      </c>
      <c r="B10" s="125" t="s">
        <v>53</v>
      </c>
      <c r="C10" s="125"/>
      <c r="D10" s="64">
        <v>1</v>
      </c>
      <c r="E10" s="20" t="s">
        <v>52</v>
      </c>
      <c r="F10" s="65">
        <v>131400</v>
      </c>
      <c r="G10" s="65">
        <f t="shared" si="0"/>
        <v>131400</v>
      </c>
      <c r="H10" s="66">
        <v>1</v>
      </c>
      <c r="I10" s="67">
        <f t="shared" si="1"/>
        <v>131400</v>
      </c>
      <c r="J10" s="68"/>
      <c r="K10" s="69">
        <f>J10*F10*D10</f>
        <v>0</v>
      </c>
      <c r="L10" s="66">
        <f t="shared" si="2"/>
        <v>1</v>
      </c>
      <c r="M10" s="67">
        <f t="shared" si="2"/>
        <v>131400</v>
      </c>
      <c r="N10" s="68">
        <f t="shared" si="3"/>
        <v>0</v>
      </c>
      <c r="O10" s="46">
        <f t="shared" si="4"/>
        <v>0</v>
      </c>
      <c r="Q10" s="50">
        <v>100</v>
      </c>
      <c r="R10" s="161">
        <f>Q10/100-L10</f>
        <v>0</v>
      </c>
    </row>
    <row r="11" spans="1:18" s="3" customFormat="1" ht="20" customHeight="1" x14ac:dyDescent="0.2">
      <c r="A11" s="51">
        <v>2</v>
      </c>
      <c r="B11" s="125" t="s">
        <v>64</v>
      </c>
      <c r="C11" s="125"/>
      <c r="D11" s="64">
        <v>1</v>
      </c>
      <c r="E11" s="20" t="s">
        <v>52</v>
      </c>
      <c r="F11" s="65">
        <v>354033</v>
      </c>
      <c r="G11" s="65">
        <f t="shared" si="0"/>
        <v>354033</v>
      </c>
      <c r="H11" s="66">
        <v>0.77950000000000008</v>
      </c>
      <c r="I11" s="67">
        <f t="shared" si="1"/>
        <v>275968.72350000002</v>
      </c>
      <c r="J11" s="68"/>
      <c r="K11" s="69">
        <f t="shared" ref="K11:K12" si="5">J11*F11*D11</f>
        <v>0</v>
      </c>
      <c r="L11" s="66">
        <f t="shared" si="2"/>
        <v>0.77950000000000008</v>
      </c>
      <c r="M11" s="67">
        <f t="shared" si="2"/>
        <v>275968.72350000002</v>
      </c>
      <c r="N11" s="68">
        <f t="shared" si="3"/>
        <v>0.22049999999999992</v>
      </c>
      <c r="O11" s="46">
        <f t="shared" si="4"/>
        <v>78064.276499999978</v>
      </c>
      <c r="Q11" s="50">
        <v>77.95</v>
      </c>
      <c r="R11" s="161">
        <f t="shared" ref="R11:R15" si="6">Q11/100-L11</f>
        <v>0</v>
      </c>
    </row>
    <row r="12" spans="1:18" s="3" customFormat="1" ht="20" customHeight="1" x14ac:dyDescent="0.2">
      <c r="A12" s="51">
        <v>3</v>
      </c>
      <c r="B12" s="125" t="s">
        <v>67</v>
      </c>
      <c r="C12" s="125"/>
      <c r="D12" s="64">
        <v>1</v>
      </c>
      <c r="E12" s="20" t="s">
        <v>52</v>
      </c>
      <c r="F12" s="65">
        <v>262948.5</v>
      </c>
      <c r="G12" s="65">
        <f t="shared" si="0"/>
        <v>262948.5</v>
      </c>
      <c r="H12" s="66">
        <v>0.39840000000000003</v>
      </c>
      <c r="I12" s="67">
        <f t="shared" si="1"/>
        <v>104758.68240000001</v>
      </c>
      <c r="J12" s="68">
        <v>0.1065</v>
      </c>
      <c r="K12" s="69">
        <f t="shared" si="5"/>
        <v>28004.01525</v>
      </c>
      <c r="L12" s="66">
        <f t="shared" si="2"/>
        <v>0.50490000000000002</v>
      </c>
      <c r="M12" s="67">
        <f t="shared" si="2"/>
        <v>132762.69765000002</v>
      </c>
      <c r="N12" s="68">
        <f t="shared" si="3"/>
        <v>0.49509999999999998</v>
      </c>
      <c r="O12" s="46">
        <f t="shared" si="4"/>
        <v>130185.80235</v>
      </c>
      <c r="Q12" s="50">
        <v>50.49</v>
      </c>
      <c r="R12" s="161">
        <f t="shared" si="6"/>
        <v>0</v>
      </c>
    </row>
    <row r="13" spans="1:18" s="3" customFormat="1" ht="20" customHeight="1" x14ac:dyDescent="0.2">
      <c r="A13" s="51">
        <v>4</v>
      </c>
      <c r="B13" s="125" t="s">
        <v>65</v>
      </c>
      <c r="C13" s="125"/>
      <c r="D13" s="64">
        <v>1</v>
      </c>
      <c r="E13" s="20" t="s">
        <v>52</v>
      </c>
      <c r="F13" s="65">
        <v>275467.5</v>
      </c>
      <c r="G13" s="65">
        <f t="shared" si="0"/>
        <v>275467.5</v>
      </c>
      <c r="H13" s="66">
        <v>0.746</v>
      </c>
      <c r="I13" s="67">
        <f t="shared" si="1"/>
        <v>205498.755</v>
      </c>
      <c r="J13" s="68">
        <v>3.7199999999999997E-2</v>
      </c>
      <c r="K13" s="69">
        <f>J13*F13*D13</f>
        <v>10247.391</v>
      </c>
      <c r="L13" s="66">
        <f t="shared" si="2"/>
        <v>0.78320000000000001</v>
      </c>
      <c r="M13" s="67">
        <f>K13+I13</f>
        <v>215746.14600000001</v>
      </c>
      <c r="N13" s="68">
        <f>D13/D13-L13</f>
        <v>0.21679999999999999</v>
      </c>
      <c r="O13" s="46">
        <f>N13*G13</f>
        <v>59721.353999999999</v>
      </c>
      <c r="Q13" s="50">
        <v>78.319999999999993</v>
      </c>
      <c r="R13" s="161">
        <f t="shared" si="6"/>
        <v>0</v>
      </c>
    </row>
    <row r="14" spans="1:18" s="3" customFormat="1" ht="20" customHeight="1" x14ac:dyDescent="0.2">
      <c r="A14" s="51">
        <v>5</v>
      </c>
      <c r="B14" s="125" t="s">
        <v>66</v>
      </c>
      <c r="C14" s="125"/>
      <c r="D14" s="64">
        <v>1</v>
      </c>
      <c r="E14" s="20" t="s">
        <v>52</v>
      </c>
      <c r="F14" s="65">
        <v>217570.5</v>
      </c>
      <c r="G14" s="65">
        <f t="shared" si="0"/>
        <v>217570.5</v>
      </c>
      <c r="H14" s="66">
        <v>0.46360000000000001</v>
      </c>
      <c r="I14" s="67">
        <f t="shared" si="1"/>
        <v>100865.6838</v>
      </c>
      <c r="J14" s="68">
        <v>8.0199999999999994E-2</v>
      </c>
      <c r="K14" s="69">
        <f>J14*F14*D14</f>
        <v>17449.1541</v>
      </c>
      <c r="L14" s="66">
        <f t="shared" si="2"/>
        <v>0.54380000000000006</v>
      </c>
      <c r="M14" s="67">
        <f t="shared" si="2"/>
        <v>118314.8379</v>
      </c>
      <c r="N14" s="68">
        <f t="shared" ref="N14:N15" si="7">D14/D14-L14</f>
        <v>0.45619999999999994</v>
      </c>
      <c r="O14" s="46">
        <f t="shared" ref="O14:O15" si="8">N14*G14</f>
        <v>99255.662099999987</v>
      </c>
      <c r="Q14" s="50">
        <v>54.38</v>
      </c>
      <c r="R14" s="161">
        <f t="shared" si="6"/>
        <v>0</v>
      </c>
    </row>
    <row r="15" spans="1:18" s="3" customFormat="1" ht="20" customHeight="1" thickBot="1" x14ac:dyDescent="0.25">
      <c r="A15" s="55">
        <v>6</v>
      </c>
      <c r="B15" s="137" t="s">
        <v>63</v>
      </c>
      <c r="C15" s="137"/>
      <c r="D15" s="70">
        <v>1</v>
      </c>
      <c r="E15" s="47" t="s">
        <v>52</v>
      </c>
      <c r="F15" s="71">
        <v>9580.5</v>
      </c>
      <c r="G15" s="71">
        <f t="shared" si="0"/>
        <v>9580.5</v>
      </c>
      <c r="H15" s="72">
        <v>0</v>
      </c>
      <c r="I15" s="73">
        <f t="shared" si="1"/>
        <v>0</v>
      </c>
      <c r="J15" s="74"/>
      <c r="K15" s="75">
        <f>J15*F15*D15</f>
        <v>0</v>
      </c>
      <c r="L15" s="72">
        <f t="shared" si="2"/>
        <v>0</v>
      </c>
      <c r="M15" s="73">
        <f t="shared" si="2"/>
        <v>0</v>
      </c>
      <c r="N15" s="74">
        <f t="shared" si="7"/>
        <v>1</v>
      </c>
      <c r="O15" s="48">
        <f t="shared" si="8"/>
        <v>9580.5</v>
      </c>
      <c r="Q15" s="50">
        <v>0</v>
      </c>
      <c r="R15" s="161">
        <f t="shared" si="6"/>
        <v>0</v>
      </c>
    </row>
    <row r="16" spans="1:18" s="2" customFormat="1" ht="20.149999999999999" customHeight="1" thickBot="1" x14ac:dyDescent="0.3">
      <c r="A16" s="131" t="s">
        <v>16</v>
      </c>
      <c r="B16" s="132"/>
      <c r="C16" s="132"/>
      <c r="D16" s="132"/>
      <c r="E16" s="132"/>
      <c r="F16" s="133"/>
      <c r="G16" s="40">
        <f>SUBTOTAL(9,G9:G15)</f>
        <v>1390000</v>
      </c>
      <c r="H16" s="41">
        <f>I16/C6</f>
        <v>0.68884305374100729</v>
      </c>
      <c r="I16" s="40">
        <f>SUBTOTAL(9,I9:I15)</f>
        <v>957491.84470000013</v>
      </c>
      <c r="J16" s="42">
        <f>K16/C6</f>
        <v>4.007234557553957E-2</v>
      </c>
      <c r="K16" s="43">
        <f>SUBTOTAL(9,K9:K15)</f>
        <v>55700.56035</v>
      </c>
      <c r="L16" s="41">
        <f>M16/C6</f>
        <v>0.72891539931654681</v>
      </c>
      <c r="M16" s="44">
        <f>SUBTOTAL(9,M9:M15)</f>
        <v>1013192.4050500001</v>
      </c>
      <c r="N16" s="42">
        <f>O16/C6</f>
        <v>0.27108460068345319</v>
      </c>
      <c r="O16" s="45">
        <f>SUBTOTAL(9,O9:O15)</f>
        <v>376807.59494999994</v>
      </c>
      <c r="Q16" s="50"/>
    </row>
    <row r="17" spans="1:15" ht="20.3" customHeight="1" thickBot="1" x14ac:dyDescent="0.3">
      <c r="A17" s="134" t="s">
        <v>10</v>
      </c>
      <c r="B17" s="135"/>
      <c r="C17" s="135"/>
      <c r="D17" s="135"/>
      <c r="E17" s="135"/>
      <c r="F17" s="135"/>
      <c r="G17" s="135"/>
      <c r="H17" s="135"/>
      <c r="I17" s="136"/>
      <c r="J17" s="138"/>
      <c r="K17" s="139"/>
      <c r="L17" s="139"/>
      <c r="M17" s="140"/>
      <c r="N17" s="5"/>
      <c r="O17" s="6"/>
    </row>
    <row r="18" spans="1:15" ht="20.95" customHeight="1" thickBot="1" x14ac:dyDescent="0.25">
      <c r="A18" s="32"/>
      <c r="B18" s="33"/>
      <c r="C18" s="33"/>
      <c r="D18" s="33"/>
      <c r="E18" s="33"/>
      <c r="F18" s="33"/>
      <c r="G18" s="141" t="s">
        <v>22</v>
      </c>
      <c r="H18" s="141"/>
      <c r="I18" s="142"/>
      <c r="J18" s="143">
        <f>K16</f>
        <v>55700.56035</v>
      </c>
      <c r="K18" s="144"/>
      <c r="L18" s="144"/>
      <c r="M18" s="145"/>
      <c r="N18" s="13"/>
      <c r="O18" s="14"/>
    </row>
    <row r="19" spans="1:15" ht="29.3" customHeight="1" x14ac:dyDescent="0.2">
      <c r="A19" s="7"/>
      <c r="B19" s="156" t="s">
        <v>54</v>
      </c>
      <c r="C19" s="156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8"/>
    </row>
    <row r="20" spans="1:15" x14ac:dyDescent="0.2">
      <c r="A20" s="9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8"/>
    </row>
    <row r="21" spans="1:15" ht="73" customHeight="1" thickBot="1" x14ac:dyDescent="0.2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2"/>
    </row>
    <row r="22" spans="1:15" ht="8.1999999999999993" customHeight="1" thickBot="1" x14ac:dyDescent="0.25"/>
    <row r="23" spans="1:15" ht="17.7" x14ac:dyDescent="0.2">
      <c r="A23" s="146" t="s">
        <v>76</v>
      </c>
      <c r="B23" s="147"/>
      <c r="C23" s="147"/>
      <c r="D23" s="148"/>
      <c r="E23" s="148"/>
      <c r="F23" s="147"/>
      <c r="G23" s="147"/>
      <c r="H23" s="147"/>
      <c r="I23" s="147"/>
      <c r="J23" s="147"/>
      <c r="K23" s="147"/>
      <c r="L23" s="147"/>
      <c r="M23" s="147"/>
      <c r="N23" s="147"/>
      <c r="O23" s="149"/>
    </row>
    <row r="24" spans="1:15" ht="15.05" x14ac:dyDescent="0.2">
      <c r="A24" s="150" t="s">
        <v>25</v>
      </c>
      <c r="B24" s="151"/>
      <c r="C24" s="78">
        <f>G16</f>
        <v>1390000</v>
      </c>
      <c r="D24" s="152" t="s">
        <v>69</v>
      </c>
      <c r="E24" s="153"/>
      <c r="F24" s="26">
        <v>139000</v>
      </c>
      <c r="G24" s="25"/>
      <c r="H24" s="154"/>
      <c r="I24" s="155"/>
      <c r="J24" s="25" t="s">
        <v>47</v>
      </c>
      <c r="K24" s="26">
        <v>0</v>
      </c>
      <c r="L24" s="25" t="s">
        <v>48</v>
      </c>
      <c r="M24" s="26">
        <v>0</v>
      </c>
      <c r="N24" s="25" t="s">
        <v>49</v>
      </c>
      <c r="O24" s="29">
        <v>0</v>
      </c>
    </row>
    <row r="25" spans="1:15" ht="15.05" x14ac:dyDescent="0.2">
      <c r="A25" s="150" t="s">
        <v>50</v>
      </c>
      <c r="B25" s="151"/>
      <c r="C25" s="78">
        <f>SUM(F24:F28,H24:I28)</f>
        <v>1390418.8909999998</v>
      </c>
      <c r="D25" s="152" t="s">
        <v>26</v>
      </c>
      <c r="E25" s="153"/>
      <c r="F25" s="26">
        <v>274248.89099999995</v>
      </c>
      <c r="G25" s="25" t="s">
        <v>27</v>
      </c>
      <c r="H25" s="154">
        <v>0</v>
      </c>
      <c r="I25" s="155"/>
      <c r="J25" s="25" t="s">
        <v>28</v>
      </c>
      <c r="K25" s="26">
        <v>0</v>
      </c>
      <c r="L25" s="25" t="s">
        <v>29</v>
      </c>
      <c r="M25" s="26">
        <v>0</v>
      </c>
      <c r="N25" s="25" t="s">
        <v>30</v>
      </c>
      <c r="O25" s="29">
        <v>0</v>
      </c>
    </row>
    <row r="26" spans="1:15" ht="15.05" x14ac:dyDescent="0.2">
      <c r="A26" s="150" t="s">
        <v>36</v>
      </c>
      <c r="B26" s="151"/>
      <c r="C26" s="78">
        <f>C24-C25+418.89</f>
        <v>-9.9999982865028869E-4</v>
      </c>
      <c r="D26" s="152" t="s">
        <v>31</v>
      </c>
      <c r="E26" s="153"/>
      <c r="F26" s="26">
        <v>977170</v>
      </c>
      <c r="G26" s="25" t="s">
        <v>32</v>
      </c>
      <c r="H26" s="154">
        <v>0</v>
      </c>
      <c r="I26" s="155"/>
      <c r="J26" s="25" t="s">
        <v>33</v>
      </c>
      <c r="K26" s="26">
        <v>0</v>
      </c>
      <c r="L26" s="25" t="s">
        <v>34</v>
      </c>
      <c r="M26" s="26">
        <v>0</v>
      </c>
      <c r="N26" s="25" t="s">
        <v>35</v>
      </c>
      <c r="O26" s="29">
        <v>0</v>
      </c>
    </row>
    <row r="27" spans="1:15" ht="15.05" x14ac:dyDescent="0.2">
      <c r="A27" s="150"/>
      <c r="B27" s="151"/>
      <c r="C27" s="27"/>
      <c r="D27" s="152" t="s">
        <v>37</v>
      </c>
      <c r="E27" s="153"/>
      <c r="F27" s="26">
        <v>0</v>
      </c>
      <c r="G27" s="25" t="s">
        <v>38</v>
      </c>
      <c r="H27" s="154">
        <v>0</v>
      </c>
      <c r="I27" s="155"/>
      <c r="J27" s="25" t="s">
        <v>39</v>
      </c>
      <c r="K27" s="26">
        <v>0</v>
      </c>
      <c r="L27" s="25" t="s">
        <v>40</v>
      </c>
      <c r="M27" s="26">
        <v>0</v>
      </c>
      <c r="N27" s="25" t="s">
        <v>41</v>
      </c>
      <c r="O27" s="29">
        <v>0</v>
      </c>
    </row>
    <row r="28" spans="1:15" ht="15.05" x14ac:dyDescent="0.2">
      <c r="A28" s="150"/>
      <c r="B28" s="151"/>
      <c r="C28" s="27"/>
      <c r="D28" s="152" t="s">
        <v>42</v>
      </c>
      <c r="E28" s="153"/>
      <c r="F28" s="26">
        <v>0</v>
      </c>
      <c r="G28" s="25" t="s">
        <v>43</v>
      </c>
      <c r="H28" s="154">
        <v>0</v>
      </c>
      <c r="I28" s="155"/>
      <c r="J28" s="25" t="s">
        <v>44</v>
      </c>
      <c r="K28" s="26">
        <v>0</v>
      </c>
      <c r="L28" s="25" t="s">
        <v>45</v>
      </c>
      <c r="M28" s="26">
        <v>0</v>
      </c>
      <c r="N28" s="25" t="s">
        <v>46</v>
      </c>
      <c r="O28" s="29">
        <v>0</v>
      </c>
    </row>
    <row r="29" spans="1:15" ht="18.350000000000001" thickBot="1" x14ac:dyDescent="0.25">
      <c r="A29" s="21"/>
      <c r="B29" s="22"/>
      <c r="C29" s="22"/>
      <c r="D29" s="22"/>
      <c r="E29" s="22"/>
      <c r="F29" s="31"/>
      <c r="G29" s="31"/>
      <c r="H29" s="23"/>
      <c r="I29" s="30"/>
      <c r="J29" s="22"/>
      <c r="K29" s="22"/>
      <c r="L29" s="22"/>
      <c r="M29" s="22"/>
      <c r="N29" s="22"/>
      <c r="O29" s="24"/>
    </row>
    <row r="30" spans="1:15" ht="8.1999999999999993" customHeight="1" thickBot="1" x14ac:dyDescent="0.25"/>
    <row r="31" spans="1:15" ht="17.7" x14ac:dyDescent="0.2">
      <c r="A31" s="157" t="s">
        <v>73</v>
      </c>
      <c r="B31" s="158"/>
      <c r="C31" s="158"/>
      <c r="D31" s="159"/>
      <c r="E31" s="159"/>
      <c r="F31" s="158"/>
      <c r="G31" s="158"/>
      <c r="H31" s="158"/>
      <c r="I31" s="158"/>
      <c r="J31" s="158"/>
      <c r="K31" s="158"/>
      <c r="L31" s="158"/>
      <c r="M31" s="158"/>
      <c r="N31" s="158"/>
      <c r="O31" s="160"/>
    </row>
    <row r="32" spans="1:15" ht="15.05" x14ac:dyDescent="0.2">
      <c r="A32" s="150" t="s">
        <v>25</v>
      </c>
      <c r="B32" s="151"/>
      <c r="C32" s="78">
        <f>G16</f>
        <v>1390000</v>
      </c>
      <c r="D32" s="152" t="s">
        <v>69</v>
      </c>
      <c r="E32" s="153"/>
      <c r="F32" s="26">
        <v>139000</v>
      </c>
      <c r="G32" s="25" t="s">
        <v>75</v>
      </c>
      <c r="H32" s="154"/>
      <c r="I32" s="155"/>
      <c r="J32" s="25" t="s">
        <v>47</v>
      </c>
      <c r="K32" s="26">
        <v>0</v>
      </c>
      <c r="L32" s="25" t="s">
        <v>48</v>
      </c>
      <c r="M32" s="26">
        <v>0</v>
      </c>
      <c r="N32" s="25" t="s">
        <v>49</v>
      </c>
      <c r="O32" s="29">
        <v>0</v>
      </c>
    </row>
    <row r="33" spans="1:15" ht="15.05" x14ac:dyDescent="0.2">
      <c r="A33" s="150" t="s">
        <v>50</v>
      </c>
      <c r="B33" s="151"/>
      <c r="C33" s="78">
        <f>M16</f>
        <v>1013192.4050500001</v>
      </c>
      <c r="D33" s="152" t="s">
        <v>26</v>
      </c>
      <c r="E33" s="153"/>
      <c r="F33" s="26">
        <v>274248.89099999995</v>
      </c>
      <c r="G33" s="25" t="s">
        <v>27</v>
      </c>
      <c r="H33" s="154">
        <v>0</v>
      </c>
      <c r="I33" s="155"/>
      <c r="J33" s="25" t="s">
        <v>28</v>
      </c>
      <c r="K33" s="26">
        <v>0</v>
      </c>
      <c r="L33" s="25" t="s">
        <v>29</v>
      </c>
      <c r="M33" s="26">
        <v>0</v>
      </c>
      <c r="N33" s="25" t="s">
        <v>30</v>
      </c>
      <c r="O33" s="29">
        <v>0</v>
      </c>
    </row>
    <row r="34" spans="1:15" ht="15.05" x14ac:dyDescent="0.2">
      <c r="A34" s="150" t="s">
        <v>36</v>
      </c>
      <c r="B34" s="151"/>
      <c r="C34" s="78">
        <f>O16</f>
        <v>376807.59494999994</v>
      </c>
      <c r="D34" s="152" t="s">
        <v>31</v>
      </c>
      <c r="E34" s="153"/>
      <c r="F34" s="26">
        <v>544242.95369999995</v>
      </c>
      <c r="G34" s="25" t="s">
        <v>32</v>
      </c>
      <c r="H34" s="154">
        <v>0</v>
      </c>
      <c r="I34" s="155"/>
      <c r="J34" s="25" t="s">
        <v>33</v>
      </c>
      <c r="K34" s="26">
        <v>0</v>
      </c>
      <c r="L34" s="25" t="s">
        <v>34</v>
      </c>
      <c r="M34" s="26">
        <v>0</v>
      </c>
      <c r="N34" s="25" t="s">
        <v>35</v>
      </c>
      <c r="O34" s="29">
        <v>0</v>
      </c>
    </row>
    <row r="35" spans="1:15" ht="15.05" x14ac:dyDescent="0.2">
      <c r="A35" s="150" t="s">
        <v>74</v>
      </c>
      <c r="B35" s="151"/>
      <c r="C35" s="80">
        <f>C26-C34</f>
        <v>-376807.59594999976</v>
      </c>
      <c r="D35" s="152" t="s">
        <v>37</v>
      </c>
      <c r="E35" s="153"/>
      <c r="F35" s="26">
        <f>K16</f>
        <v>55700.56035</v>
      </c>
      <c r="G35" s="25" t="s">
        <v>38</v>
      </c>
      <c r="H35" s="154">
        <v>0</v>
      </c>
      <c r="I35" s="155"/>
      <c r="J35" s="25" t="s">
        <v>39</v>
      </c>
      <c r="K35" s="26">
        <v>0</v>
      </c>
      <c r="L35" s="25" t="s">
        <v>40</v>
      </c>
      <c r="M35" s="26">
        <v>0</v>
      </c>
      <c r="N35" s="25" t="s">
        <v>41</v>
      </c>
      <c r="O35" s="29">
        <v>0</v>
      </c>
    </row>
    <row r="36" spans="1:15" ht="15.05" x14ac:dyDescent="0.2">
      <c r="A36" s="150"/>
      <c r="B36" s="151"/>
      <c r="C36" s="27"/>
      <c r="D36" s="152" t="s">
        <v>42</v>
      </c>
      <c r="E36" s="153"/>
      <c r="F36" s="26">
        <v>0</v>
      </c>
      <c r="G36" s="25" t="s">
        <v>43</v>
      </c>
      <c r="H36" s="154">
        <v>0</v>
      </c>
      <c r="I36" s="155"/>
      <c r="J36" s="25" t="s">
        <v>44</v>
      </c>
      <c r="K36" s="26">
        <v>0</v>
      </c>
      <c r="L36" s="25" t="s">
        <v>45</v>
      </c>
      <c r="M36" s="26">
        <v>0</v>
      </c>
      <c r="N36" s="25" t="s">
        <v>46</v>
      </c>
      <c r="O36" s="29">
        <v>0</v>
      </c>
    </row>
    <row r="37" spans="1:15" ht="18.350000000000001" thickBot="1" x14ac:dyDescent="0.25">
      <c r="A37" s="21"/>
      <c r="B37" s="22"/>
      <c r="C37" s="22"/>
      <c r="D37" s="22"/>
      <c r="E37" s="22"/>
      <c r="F37" s="31"/>
      <c r="G37" s="31"/>
      <c r="H37" s="23"/>
      <c r="I37" s="30"/>
      <c r="J37" s="22"/>
      <c r="K37" s="22"/>
      <c r="L37" s="22"/>
      <c r="M37" s="22"/>
      <c r="N37" s="22"/>
      <c r="O37" s="24"/>
    </row>
    <row r="39" spans="1:15" x14ac:dyDescent="0.2">
      <c r="C39" s="49"/>
    </row>
    <row r="40" spans="1:15" x14ac:dyDescent="0.2">
      <c r="C40" s="49"/>
      <c r="F40" s="49">
        <f>F27*0.7</f>
        <v>0</v>
      </c>
    </row>
    <row r="41" spans="1:15" x14ac:dyDescent="0.2">
      <c r="C41" s="49"/>
      <c r="F41" s="49">
        <f>F27-F40</f>
        <v>0</v>
      </c>
    </row>
    <row r="42" spans="1:15" x14ac:dyDescent="0.2">
      <c r="C42" s="49"/>
      <c r="F42" s="49">
        <f>F41*0.11</f>
        <v>0</v>
      </c>
    </row>
    <row r="43" spans="1:15" x14ac:dyDescent="0.2">
      <c r="C43" s="49"/>
    </row>
    <row r="44" spans="1:15" x14ac:dyDescent="0.2">
      <c r="C44" s="49"/>
    </row>
    <row r="45" spans="1:15" x14ac:dyDescent="0.2">
      <c r="C45" s="49"/>
    </row>
    <row r="46" spans="1:15" x14ac:dyDescent="0.2">
      <c r="C46" s="49"/>
    </row>
  </sheetData>
  <mergeCells count="73">
    <mergeCell ref="A35:B35"/>
    <mergeCell ref="D35:E35"/>
    <mergeCell ref="H35:I35"/>
    <mergeCell ref="A36:B36"/>
    <mergeCell ref="D36:E36"/>
    <mergeCell ref="H36:I36"/>
    <mergeCell ref="A33:B33"/>
    <mergeCell ref="D33:E33"/>
    <mergeCell ref="H33:I33"/>
    <mergeCell ref="A34:B34"/>
    <mergeCell ref="D34:E34"/>
    <mergeCell ref="H34:I34"/>
    <mergeCell ref="A28:B28"/>
    <mergeCell ref="D28:E28"/>
    <mergeCell ref="H28:I28"/>
    <mergeCell ref="A31:O31"/>
    <mergeCell ref="A32:B32"/>
    <mergeCell ref="D32:E32"/>
    <mergeCell ref="H32:I32"/>
    <mergeCell ref="A26:B26"/>
    <mergeCell ref="D26:E26"/>
    <mergeCell ref="H26:I26"/>
    <mergeCell ref="A27:B27"/>
    <mergeCell ref="D27:E27"/>
    <mergeCell ref="H27:I27"/>
    <mergeCell ref="A24:B24"/>
    <mergeCell ref="D24:E24"/>
    <mergeCell ref="H24:I24"/>
    <mergeCell ref="A25:B25"/>
    <mergeCell ref="D25:E25"/>
    <mergeCell ref="H25:I25"/>
    <mergeCell ref="A17:I17"/>
    <mergeCell ref="J17:M17"/>
    <mergeCell ref="G18:I18"/>
    <mergeCell ref="J18:M18"/>
    <mergeCell ref="B19:C19"/>
    <mergeCell ref="A23:O23"/>
    <mergeCell ref="B11:C11"/>
    <mergeCell ref="B12:C12"/>
    <mergeCell ref="B13:C13"/>
    <mergeCell ref="B14:C14"/>
    <mergeCell ref="B15:C15"/>
    <mergeCell ref="A16:F16"/>
    <mergeCell ref="H7:I7"/>
    <mergeCell ref="J7:K7"/>
    <mergeCell ref="L7:M7"/>
    <mergeCell ref="N7:O7"/>
    <mergeCell ref="B9:C9"/>
    <mergeCell ref="B10:C10"/>
    <mergeCell ref="A6:B6"/>
    <mergeCell ref="C6:E6"/>
    <mergeCell ref="G6:L6"/>
    <mergeCell ref="N6:O6"/>
    <mergeCell ref="A7:A8"/>
    <mergeCell ref="B7:C8"/>
    <mergeCell ref="D7:D8"/>
    <mergeCell ref="E7:E8"/>
    <mergeCell ref="F7:F8"/>
    <mergeCell ref="G7:G8"/>
    <mergeCell ref="A4:B4"/>
    <mergeCell ref="C4:E4"/>
    <mergeCell ref="G4:L4"/>
    <mergeCell ref="N4:O4"/>
    <mergeCell ref="A5:B5"/>
    <mergeCell ref="C5:E5"/>
    <mergeCell ref="G5:L5"/>
    <mergeCell ref="N5:O5"/>
    <mergeCell ref="A1:O1"/>
    <mergeCell ref="A2:O2"/>
    <mergeCell ref="A3:B3"/>
    <mergeCell ref="C3:E3"/>
    <mergeCell ref="G3:L3"/>
    <mergeCell ref="N3:O3"/>
  </mergeCells>
  <printOptions horizontalCentered="1" verticalCentered="1" gridLines="1"/>
  <pageMargins left="0.23622047244094491" right="3.937007874015748E-2" top="0.19685039370078741" bottom="0.15748031496062992" header="0.31496062992125984" footer="0.31496062992125984"/>
  <pageSetup paperSize="9" scale="48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r:id="rId4" name="Option Button 1">
              <controlPr defaultSize="0" autoFill="0" autoLine="0" autoPict="0">
                <anchor moveWithCells="1">
                  <from>
                    <xdr:col>14</xdr:col>
                    <xdr:colOff>382385</xdr:colOff>
                    <xdr:row>2</xdr:row>
                    <xdr:rowOff>0</xdr:rowOff>
                  </from>
                  <to>
                    <xdr:col>14</xdr:col>
                    <xdr:colOff>1055716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2" r:id="rId5" name="Option Button 2">
              <controlPr defaultSize="0" autoFill="0" autoLine="0" autoPict="0">
                <anchor moveWithCells="1">
                  <from>
                    <xdr:col>13</xdr:col>
                    <xdr:colOff>507076</xdr:colOff>
                    <xdr:row>1</xdr:row>
                    <xdr:rowOff>232756</xdr:rowOff>
                  </from>
                  <to>
                    <xdr:col>14</xdr:col>
                    <xdr:colOff>49876</xdr:colOff>
                    <xdr:row>3</xdr:row>
                    <xdr:rowOff>8313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BD8034283E8046A0DF0646209DCE74" ma:contentTypeVersion="0" ma:contentTypeDescription="Create a new document." ma:contentTypeScope="" ma:versionID="e846278f3ca44eb8f1ad1d6cfcf6eb69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31AD32-41B8-4464-9E99-A508ACA5CE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B774CB7-5969-470D-B239-225E9C77FDB8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E8509988-61A0-4359-A736-181DAE491F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8</vt:i4>
      </vt:variant>
    </vt:vector>
  </HeadingPairs>
  <TitlesOfParts>
    <vt:vector size="12" baseType="lpstr">
      <vt:lpstr>ADIANTAMENTO</vt:lpstr>
      <vt:lpstr>BMS 01</vt:lpstr>
      <vt:lpstr>BMS 02</vt:lpstr>
      <vt:lpstr>BMS 03</vt:lpstr>
      <vt:lpstr>ADIANTAMENTO!Area_de_impressao</vt:lpstr>
      <vt:lpstr>'BMS 01'!Area_de_impressao</vt:lpstr>
      <vt:lpstr>'BMS 02'!Area_de_impressao</vt:lpstr>
      <vt:lpstr>'BMS 03'!Area_de_impressao</vt:lpstr>
      <vt:lpstr>ADIANTAMENTO!Titulos_de_impressao</vt:lpstr>
      <vt:lpstr>'BMS 01'!Titulos_de_impressao</vt:lpstr>
      <vt:lpstr>'BMS 02'!Titulos_de_impressao</vt:lpstr>
      <vt:lpstr>'BMS 03'!Titulos_de_impressao</vt:lpstr>
    </vt:vector>
  </TitlesOfParts>
  <Company>Eletriman Engenharia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Medição de Serviços Realizados</dc:subject>
  <dc:creator>Nilson Tomas Guzzo Junior</dc:creator>
  <cp:lastModifiedBy>Gabriel Rodrigues</cp:lastModifiedBy>
  <cp:lastPrinted>2022-12-13T18:16:36Z</cp:lastPrinted>
  <dcterms:created xsi:type="dcterms:W3CDTF">2000-05-02T11:23:12Z</dcterms:created>
  <dcterms:modified xsi:type="dcterms:W3CDTF">2026-06-10T15:52:01Z</dcterms:modified>
  <cp:category>Gerenciamento de Projetos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0x01010043BD8034283E8046A0DF0646209DCE74</vt:lpwstr>
  </property>
</Properties>
</file>