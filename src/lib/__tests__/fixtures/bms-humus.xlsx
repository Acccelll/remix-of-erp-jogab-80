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ff13526d67f82881/JOGAB/MONTAGENS E CONSTRUÇÕES/ENGENHARIA/OBRAS/213 - HUMUS/MEDIÇÕES/"/>
    </mc:Choice>
  </mc:AlternateContent>
  <xr:revisionPtr revIDLastSave="32" documentId="13_ncr:1_{7830472B-83DB-498C-AD2F-DB79CFBB8D45}" xr6:coauthVersionLast="47" xr6:coauthVersionMax="47" xr10:uidLastSave="{C8DB433F-A2D4-42EA-B941-8EFB215C9AF9}"/>
  <bookViews>
    <workbookView xWindow="3037" yWindow="3037" windowWidth="18851" windowHeight="9766" tabRatio="736" activeTab="6" xr2:uid="{00000000-000D-0000-FFFF-FFFF00000000}"/>
  </bookViews>
  <sheets>
    <sheet name="BMS 01" sheetId="944" r:id="rId1"/>
    <sheet name="BMS 02" sheetId="945" r:id="rId2"/>
    <sheet name="BMS 03" sheetId="946" r:id="rId3"/>
    <sheet name="BMS 04" sheetId="947" r:id="rId4"/>
    <sheet name="BMS 05" sheetId="948" r:id="rId5"/>
    <sheet name="BMS 06" sheetId="949" r:id="rId6"/>
    <sheet name="BMS 07" sheetId="950" r:id="rId7"/>
  </sheets>
  <definedNames>
    <definedName name="_xlnm._FilterDatabase" localSheetId="0" hidden="1">'BMS 01'!$A$1:$O$24</definedName>
    <definedName name="_xlnm._FilterDatabase" localSheetId="1" hidden="1">'BMS 02'!$A$1:$O$24</definedName>
    <definedName name="_xlnm._FilterDatabase" localSheetId="2" hidden="1">'BMS 03'!$A$1:$O$24</definedName>
    <definedName name="_xlnm._FilterDatabase" localSheetId="3" hidden="1">'BMS 04'!$A$1:$O$24</definedName>
    <definedName name="_xlnm._FilterDatabase" localSheetId="4" hidden="1">'BMS 05'!$A$1:$O$24</definedName>
    <definedName name="_xlnm._FilterDatabase" localSheetId="5" hidden="1">'BMS 06'!$A$1:$O$24</definedName>
    <definedName name="_xlnm._FilterDatabase" localSheetId="6" hidden="1">'BMS 07'!$A$1:$O$24</definedName>
    <definedName name="_xlnm.Print_Area" localSheetId="0">'BMS 01'!$A$1:$O$34</definedName>
    <definedName name="_xlnm.Print_Area" localSheetId="1">'BMS 02'!$A$1:$O$34</definedName>
    <definedName name="_xlnm.Print_Area" localSheetId="2">'BMS 03'!$A$1:$O$34</definedName>
    <definedName name="_xlnm.Print_Area" localSheetId="3">'BMS 04'!$A$1:$O$34</definedName>
    <definedName name="_xlnm.Print_Area" localSheetId="4">'BMS 05'!$A$1:$O$34</definedName>
    <definedName name="_xlnm.Print_Area" localSheetId="5">'BMS 06'!$A$1:$O$34</definedName>
    <definedName name="_xlnm.Print_Area" localSheetId="6">'BMS 07'!$A$1:$O$34</definedName>
    <definedName name="TABLE" localSheetId="0">'BMS 01'!#REF!</definedName>
    <definedName name="TABLE" localSheetId="1">'BMS 02'!#REF!</definedName>
    <definedName name="TABLE" localSheetId="2">'BMS 03'!#REF!</definedName>
    <definedName name="TABLE" localSheetId="3">'BMS 04'!#REF!</definedName>
    <definedName name="TABLE" localSheetId="4">'BMS 05'!#REF!</definedName>
    <definedName name="TABLE" localSheetId="5">'BMS 06'!#REF!</definedName>
    <definedName name="TABLE" localSheetId="6">'BMS 07'!#REF!</definedName>
    <definedName name="TABLE_2" localSheetId="0">'BMS 01'!#REF!</definedName>
    <definedName name="TABLE_2" localSheetId="1">'BMS 02'!#REF!</definedName>
    <definedName name="TABLE_2" localSheetId="2">'BMS 03'!#REF!</definedName>
    <definedName name="TABLE_2" localSheetId="3">'BMS 04'!#REF!</definedName>
    <definedName name="TABLE_2" localSheetId="4">'BMS 05'!#REF!</definedName>
    <definedName name="TABLE_2" localSheetId="5">'BMS 06'!#REF!</definedName>
    <definedName name="TABLE_2" localSheetId="6">'BMS 07'!#REF!</definedName>
    <definedName name="_xlnm.Print_Titles" localSheetId="0">'BMS 01'!$7:$8</definedName>
    <definedName name="_xlnm.Print_Titles" localSheetId="1">'BMS 02'!$7:$8</definedName>
    <definedName name="_xlnm.Print_Titles" localSheetId="2">'BMS 03'!$7:$8</definedName>
    <definedName name="_xlnm.Print_Titles" localSheetId="3">'BMS 04'!$7:$8</definedName>
    <definedName name="_xlnm.Print_Titles" localSheetId="4">'BMS 05'!$7:$8</definedName>
    <definedName name="_xlnm.Print_Titles" localSheetId="5">'BMS 06'!$7:$8</definedName>
    <definedName name="_xlnm.Print_Titles" localSheetId="6">'BMS 07'!$7:$8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1" i="950" l="1"/>
  <c r="R12" i="950"/>
  <c r="R13" i="950"/>
  <c r="R14" i="950"/>
  <c r="R15" i="950"/>
  <c r="R16" i="950"/>
  <c r="R17" i="950"/>
  <c r="R18" i="950"/>
  <c r="R19" i="950"/>
  <c r="R20" i="950"/>
  <c r="R10" i="950"/>
  <c r="L20" i="950"/>
  <c r="N20" i="950" s="1"/>
  <c r="O20" i="950" s="1"/>
  <c r="K20" i="950"/>
  <c r="G20" i="950"/>
  <c r="I20" i="950" s="1"/>
  <c r="L19" i="950"/>
  <c r="N19" i="950" s="1"/>
  <c r="O19" i="950" s="1"/>
  <c r="K19" i="950"/>
  <c r="G19" i="950"/>
  <c r="I19" i="950" s="1"/>
  <c r="L18" i="950"/>
  <c r="N18" i="950" s="1"/>
  <c r="O18" i="950" s="1"/>
  <c r="K18" i="950"/>
  <c r="G18" i="950"/>
  <c r="I18" i="950" s="1"/>
  <c r="L17" i="950"/>
  <c r="N17" i="950" s="1"/>
  <c r="O17" i="950" s="1"/>
  <c r="K17" i="950"/>
  <c r="G17" i="950"/>
  <c r="I17" i="950" s="1"/>
  <c r="M17" i="950" s="1"/>
  <c r="L16" i="950"/>
  <c r="N16" i="950" s="1"/>
  <c r="O16" i="950" s="1"/>
  <c r="K16" i="950"/>
  <c r="G16" i="950"/>
  <c r="I16" i="950" s="1"/>
  <c r="L15" i="950"/>
  <c r="N15" i="950" s="1"/>
  <c r="O15" i="950" s="1"/>
  <c r="K15" i="950"/>
  <c r="G15" i="950"/>
  <c r="I15" i="950" s="1"/>
  <c r="L14" i="950"/>
  <c r="N14" i="950" s="1"/>
  <c r="O14" i="950" s="1"/>
  <c r="K14" i="950"/>
  <c r="I14" i="950"/>
  <c r="G14" i="950"/>
  <c r="L13" i="950"/>
  <c r="N13" i="950" s="1"/>
  <c r="O13" i="950" s="1"/>
  <c r="K13" i="950"/>
  <c r="G13" i="950"/>
  <c r="I13" i="950" s="1"/>
  <c r="L12" i="950"/>
  <c r="N12" i="950" s="1"/>
  <c r="O12" i="950" s="1"/>
  <c r="K12" i="950"/>
  <c r="G12" i="950"/>
  <c r="I12" i="950" s="1"/>
  <c r="M12" i="950" s="1"/>
  <c r="L11" i="950"/>
  <c r="N11" i="950" s="1"/>
  <c r="O11" i="950" s="1"/>
  <c r="K11" i="950"/>
  <c r="M11" i="950" s="1"/>
  <c r="I11" i="950"/>
  <c r="G11" i="950"/>
  <c r="L10" i="950"/>
  <c r="N10" i="950" s="1"/>
  <c r="O10" i="950" s="1"/>
  <c r="K10" i="950"/>
  <c r="G10" i="950"/>
  <c r="I10" i="950" s="1"/>
  <c r="L9" i="950"/>
  <c r="N9" i="950" s="1"/>
  <c r="O9" i="950" s="1"/>
  <c r="G9" i="950"/>
  <c r="I9" i="950" s="1"/>
  <c r="F9" i="950"/>
  <c r="K9" i="950" s="1"/>
  <c r="L20" i="949"/>
  <c r="N20" i="949" s="1"/>
  <c r="O20" i="949" s="1"/>
  <c r="K20" i="949"/>
  <c r="G20" i="949"/>
  <c r="I20" i="949" s="1"/>
  <c r="L19" i="949"/>
  <c r="N19" i="949" s="1"/>
  <c r="O19" i="949" s="1"/>
  <c r="K19" i="949"/>
  <c r="G19" i="949"/>
  <c r="I19" i="949" s="1"/>
  <c r="L18" i="949"/>
  <c r="N18" i="949" s="1"/>
  <c r="O18" i="949" s="1"/>
  <c r="K18" i="949"/>
  <c r="I18" i="949"/>
  <c r="G18" i="949"/>
  <c r="L17" i="949"/>
  <c r="N17" i="949" s="1"/>
  <c r="O17" i="949" s="1"/>
  <c r="K17" i="949"/>
  <c r="G17" i="949"/>
  <c r="I17" i="949" s="1"/>
  <c r="L16" i="949"/>
  <c r="N16" i="949" s="1"/>
  <c r="O16" i="949" s="1"/>
  <c r="K16" i="949"/>
  <c r="G16" i="949"/>
  <c r="I16" i="949" s="1"/>
  <c r="M16" i="949" s="1"/>
  <c r="L15" i="949"/>
  <c r="N15" i="949" s="1"/>
  <c r="O15" i="949" s="1"/>
  <c r="K15" i="949"/>
  <c r="G15" i="949"/>
  <c r="I15" i="949" s="1"/>
  <c r="L14" i="949"/>
  <c r="N14" i="949" s="1"/>
  <c r="O14" i="949" s="1"/>
  <c r="K14" i="949"/>
  <c r="I14" i="949"/>
  <c r="G14" i="949"/>
  <c r="L13" i="949"/>
  <c r="N13" i="949" s="1"/>
  <c r="O13" i="949" s="1"/>
  <c r="K13" i="949"/>
  <c r="G13" i="949"/>
  <c r="I13" i="949" s="1"/>
  <c r="L12" i="949"/>
  <c r="N12" i="949" s="1"/>
  <c r="O12" i="949" s="1"/>
  <c r="K12" i="949"/>
  <c r="G12" i="949"/>
  <c r="I12" i="949" s="1"/>
  <c r="L11" i="949"/>
  <c r="N11" i="949" s="1"/>
  <c r="O11" i="949" s="1"/>
  <c r="K11" i="949"/>
  <c r="G11" i="949"/>
  <c r="I11" i="949" s="1"/>
  <c r="L10" i="949"/>
  <c r="N10" i="949" s="1"/>
  <c r="O10" i="949" s="1"/>
  <c r="K10" i="949"/>
  <c r="G10" i="949"/>
  <c r="I10" i="949" s="1"/>
  <c r="L9" i="949"/>
  <c r="N9" i="949" s="1"/>
  <c r="O9" i="949" s="1"/>
  <c r="K9" i="949"/>
  <c r="G9" i="949"/>
  <c r="G21" i="949" s="1"/>
  <c r="C29" i="949" s="1"/>
  <c r="F9" i="949"/>
  <c r="F38" i="948"/>
  <c r="F37" i="948"/>
  <c r="K21" i="948"/>
  <c r="L20" i="948"/>
  <c r="N20" i="948" s="1"/>
  <c r="O20" i="948" s="1"/>
  <c r="K20" i="948"/>
  <c r="G20" i="948"/>
  <c r="I20" i="948" s="1"/>
  <c r="L17" i="948"/>
  <c r="N17" i="948" s="1"/>
  <c r="K17" i="948"/>
  <c r="G17" i="948"/>
  <c r="I17" i="948" s="1"/>
  <c r="M17" i="948" s="1"/>
  <c r="L19" i="948"/>
  <c r="N19" i="948" s="1"/>
  <c r="K19" i="948"/>
  <c r="G19" i="948"/>
  <c r="I19" i="948" s="1"/>
  <c r="L18" i="948"/>
  <c r="N18" i="948" s="1"/>
  <c r="K18" i="948"/>
  <c r="G18" i="948"/>
  <c r="I18" i="948" s="1"/>
  <c r="L16" i="948"/>
  <c r="N16" i="948" s="1"/>
  <c r="O16" i="948" s="1"/>
  <c r="K16" i="948"/>
  <c r="G16" i="948"/>
  <c r="I16" i="948" s="1"/>
  <c r="L13" i="948"/>
  <c r="N13" i="948" s="1"/>
  <c r="K13" i="948"/>
  <c r="G13" i="948"/>
  <c r="I13" i="948" s="1"/>
  <c r="L14" i="948"/>
  <c r="N14" i="948" s="1"/>
  <c r="K14" i="948"/>
  <c r="G14" i="948"/>
  <c r="I14" i="948" s="1"/>
  <c r="L15" i="948"/>
  <c r="N15" i="948" s="1"/>
  <c r="K15" i="948"/>
  <c r="G15" i="948"/>
  <c r="I15" i="948" s="1"/>
  <c r="L12" i="948"/>
  <c r="N12" i="948" s="1"/>
  <c r="O12" i="948" s="1"/>
  <c r="K12" i="948"/>
  <c r="G12" i="948"/>
  <c r="I12" i="948" s="1"/>
  <c r="M12" i="948" s="1"/>
  <c r="L11" i="948"/>
  <c r="N11" i="948" s="1"/>
  <c r="K11" i="948"/>
  <c r="G11" i="948"/>
  <c r="I11" i="948" s="1"/>
  <c r="L10" i="948"/>
  <c r="N10" i="948" s="1"/>
  <c r="K10" i="948"/>
  <c r="G10" i="948"/>
  <c r="I10" i="948" s="1"/>
  <c r="L9" i="948"/>
  <c r="N9" i="948" s="1"/>
  <c r="F9" i="948"/>
  <c r="G9" i="948" s="1"/>
  <c r="F38" i="947"/>
  <c r="F37" i="947"/>
  <c r="L20" i="947"/>
  <c r="N20" i="947" s="1"/>
  <c r="O20" i="947" s="1"/>
  <c r="K20" i="947"/>
  <c r="I20" i="947"/>
  <c r="G20" i="947"/>
  <c r="L19" i="947"/>
  <c r="N19" i="947" s="1"/>
  <c r="O19" i="947" s="1"/>
  <c r="K19" i="947"/>
  <c r="I19" i="947"/>
  <c r="G19" i="947"/>
  <c r="L18" i="947"/>
  <c r="N18" i="947" s="1"/>
  <c r="O18" i="947" s="1"/>
  <c r="K18" i="947"/>
  <c r="I18" i="947"/>
  <c r="M18" i="947" s="1"/>
  <c r="G18" i="947"/>
  <c r="L17" i="947"/>
  <c r="N17" i="947" s="1"/>
  <c r="O17" i="947" s="1"/>
  <c r="K17" i="947"/>
  <c r="G17" i="947"/>
  <c r="I17" i="947" s="1"/>
  <c r="L16" i="947"/>
  <c r="N16" i="947" s="1"/>
  <c r="O16" i="947" s="1"/>
  <c r="K16" i="947"/>
  <c r="I16" i="947"/>
  <c r="G16" i="947"/>
  <c r="L15" i="947"/>
  <c r="K15" i="947"/>
  <c r="G15" i="947"/>
  <c r="I15" i="947" s="1"/>
  <c r="L14" i="947"/>
  <c r="N14" i="947" s="1"/>
  <c r="O14" i="947" s="1"/>
  <c r="K14" i="947"/>
  <c r="G14" i="947"/>
  <c r="I14" i="947" s="1"/>
  <c r="L13" i="947"/>
  <c r="N13" i="947" s="1"/>
  <c r="O13" i="947" s="1"/>
  <c r="K13" i="947"/>
  <c r="G13" i="947"/>
  <c r="I13" i="947" s="1"/>
  <c r="L12" i="947"/>
  <c r="N12" i="947" s="1"/>
  <c r="O12" i="947" s="1"/>
  <c r="K12" i="947"/>
  <c r="G12" i="947"/>
  <c r="I12" i="947" s="1"/>
  <c r="L11" i="947"/>
  <c r="N11" i="947" s="1"/>
  <c r="O11" i="947" s="1"/>
  <c r="K11" i="947"/>
  <c r="G11" i="947"/>
  <c r="I11" i="947" s="1"/>
  <c r="L10" i="947"/>
  <c r="N10" i="947" s="1"/>
  <c r="O10" i="947" s="1"/>
  <c r="K10" i="947"/>
  <c r="G10" i="947"/>
  <c r="I10" i="947" s="1"/>
  <c r="L9" i="947"/>
  <c r="N9" i="947" s="1"/>
  <c r="F9" i="947"/>
  <c r="K9" i="947" s="1"/>
  <c r="F39" i="946"/>
  <c r="F38" i="946"/>
  <c r="F37" i="946"/>
  <c r="L20" i="946"/>
  <c r="N20" i="946" s="1"/>
  <c r="K20" i="946"/>
  <c r="G20" i="946"/>
  <c r="I20" i="946" s="1"/>
  <c r="L19" i="946"/>
  <c r="N19" i="946" s="1"/>
  <c r="O19" i="946" s="1"/>
  <c r="K19" i="946"/>
  <c r="G19" i="946"/>
  <c r="I19" i="946" s="1"/>
  <c r="L18" i="946"/>
  <c r="N18" i="946" s="1"/>
  <c r="K18" i="946"/>
  <c r="G18" i="946"/>
  <c r="I18" i="946" s="1"/>
  <c r="M18" i="946" s="1"/>
  <c r="L17" i="946"/>
  <c r="N17" i="946" s="1"/>
  <c r="O17" i="946" s="1"/>
  <c r="K17" i="946"/>
  <c r="G17" i="946"/>
  <c r="I17" i="946" s="1"/>
  <c r="L16" i="946"/>
  <c r="N16" i="946" s="1"/>
  <c r="K16" i="946"/>
  <c r="G16" i="946"/>
  <c r="I16" i="946" s="1"/>
  <c r="L15" i="946"/>
  <c r="N15" i="946" s="1"/>
  <c r="O15" i="946" s="1"/>
  <c r="K15" i="946"/>
  <c r="G15" i="946"/>
  <c r="I15" i="946" s="1"/>
  <c r="L14" i="946"/>
  <c r="N14" i="946" s="1"/>
  <c r="K14" i="946"/>
  <c r="G14" i="946"/>
  <c r="I14" i="946" s="1"/>
  <c r="L13" i="946"/>
  <c r="N13" i="946" s="1"/>
  <c r="K13" i="946"/>
  <c r="G13" i="946"/>
  <c r="I13" i="946" s="1"/>
  <c r="L12" i="946"/>
  <c r="N12" i="946" s="1"/>
  <c r="O12" i="946" s="1"/>
  <c r="K12" i="946"/>
  <c r="I12" i="946"/>
  <c r="G12" i="946"/>
  <c r="L11" i="946"/>
  <c r="N11" i="946" s="1"/>
  <c r="K11" i="946"/>
  <c r="G11" i="946"/>
  <c r="I11" i="946" s="1"/>
  <c r="L10" i="946"/>
  <c r="N10" i="946" s="1"/>
  <c r="O10" i="946" s="1"/>
  <c r="K10" i="946"/>
  <c r="G10" i="946"/>
  <c r="I10" i="946" s="1"/>
  <c r="L9" i="946"/>
  <c r="N9" i="946" s="1"/>
  <c r="F9" i="946"/>
  <c r="K9" i="946" s="1"/>
  <c r="F39" i="945"/>
  <c r="F38" i="945"/>
  <c r="F37" i="945"/>
  <c r="F31" i="945"/>
  <c r="L20" i="945"/>
  <c r="N20" i="945" s="1"/>
  <c r="O20" i="945" s="1"/>
  <c r="K20" i="945"/>
  <c r="G20" i="945"/>
  <c r="I20" i="945" s="1"/>
  <c r="L19" i="945"/>
  <c r="N19" i="945" s="1"/>
  <c r="O19" i="945" s="1"/>
  <c r="K19" i="945"/>
  <c r="G19" i="945"/>
  <c r="I19" i="945" s="1"/>
  <c r="L18" i="945"/>
  <c r="N18" i="945" s="1"/>
  <c r="O18" i="945" s="1"/>
  <c r="K18" i="945"/>
  <c r="I18" i="945"/>
  <c r="G18" i="945"/>
  <c r="L17" i="945"/>
  <c r="N17" i="945" s="1"/>
  <c r="K17" i="945"/>
  <c r="G17" i="945"/>
  <c r="L16" i="945"/>
  <c r="N16" i="945" s="1"/>
  <c r="O16" i="945" s="1"/>
  <c r="K16" i="945"/>
  <c r="M16" i="945" s="1"/>
  <c r="I16" i="945"/>
  <c r="G16" i="945"/>
  <c r="L15" i="945"/>
  <c r="N15" i="945" s="1"/>
  <c r="O15" i="945" s="1"/>
  <c r="K15" i="945"/>
  <c r="G15" i="945"/>
  <c r="I15" i="945" s="1"/>
  <c r="L14" i="945"/>
  <c r="N14" i="945" s="1"/>
  <c r="O14" i="945" s="1"/>
  <c r="K14" i="945"/>
  <c r="I14" i="945"/>
  <c r="G14" i="945"/>
  <c r="L13" i="945"/>
  <c r="N13" i="945" s="1"/>
  <c r="O13" i="945" s="1"/>
  <c r="K13" i="945"/>
  <c r="M13" i="945" s="1"/>
  <c r="I13" i="945"/>
  <c r="G13" i="945"/>
  <c r="L12" i="945"/>
  <c r="N12" i="945" s="1"/>
  <c r="O12" i="945" s="1"/>
  <c r="K12" i="945"/>
  <c r="I12" i="945"/>
  <c r="M12" i="945" s="1"/>
  <c r="G12" i="945"/>
  <c r="L11" i="945"/>
  <c r="N11" i="945" s="1"/>
  <c r="O11" i="945" s="1"/>
  <c r="K11" i="945"/>
  <c r="G11" i="945"/>
  <c r="I11" i="945" s="1"/>
  <c r="L10" i="945"/>
  <c r="N10" i="945" s="1"/>
  <c r="O10" i="945" s="1"/>
  <c r="K10" i="945"/>
  <c r="G10" i="945"/>
  <c r="I10" i="945" s="1"/>
  <c r="L9" i="945"/>
  <c r="N9" i="945" s="1"/>
  <c r="O9" i="945" s="1"/>
  <c r="K9" i="945"/>
  <c r="G9" i="945"/>
  <c r="I9" i="945" s="1"/>
  <c r="F9" i="945"/>
  <c r="L18" i="944"/>
  <c r="N18" i="944" s="1"/>
  <c r="K18" i="944"/>
  <c r="G18" i="944"/>
  <c r="I18" i="944" s="1"/>
  <c r="L20" i="944"/>
  <c r="N20" i="944" s="1"/>
  <c r="K20" i="944"/>
  <c r="G20" i="944"/>
  <c r="I20" i="944" s="1"/>
  <c r="L19" i="944"/>
  <c r="N19" i="944" s="1"/>
  <c r="K19" i="944"/>
  <c r="G19" i="944"/>
  <c r="I19" i="944" s="1"/>
  <c r="L17" i="944"/>
  <c r="N17" i="944" s="1"/>
  <c r="K17" i="944"/>
  <c r="G17" i="944"/>
  <c r="I17" i="944" s="1"/>
  <c r="L16" i="944"/>
  <c r="N16" i="944" s="1"/>
  <c r="O16" i="944" s="1"/>
  <c r="K16" i="944"/>
  <c r="G16" i="944"/>
  <c r="I16" i="944" s="1"/>
  <c r="M16" i="944" s="1"/>
  <c r="L15" i="944"/>
  <c r="N15" i="944" s="1"/>
  <c r="K15" i="944"/>
  <c r="G15" i="944"/>
  <c r="I15" i="944" s="1"/>
  <c r="M15" i="944" s="1"/>
  <c r="L14" i="944"/>
  <c r="N14" i="944" s="1"/>
  <c r="K14" i="944"/>
  <c r="G14" i="944"/>
  <c r="I14" i="944" s="1"/>
  <c r="L13" i="944"/>
  <c r="N13" i="944" s="1"/>
  <c r="K13" i="944"/>
  <c r="G13" i="944"/>
  <c r="I13" i="944" s="1"/>
  <c r="L12" i="944"/>
  <c r="N12" i="944" s="1"/>
  <c r="K12" i="944"/>
  <c r="G12" i="944"/>
  <c r="I12" i="944" s="1"/>
  <c r="L11" i="944"/>
  <c r="N11" i="944" s="1"/>
  <c r="K11" i="944"/>
  <c r="G11" i="944"/>
  <c r="I11" i="944" s="1"/>
  <c r="L10" i="944"/>
  <c r="N10" i="944" s="1"/>
  <c r="K10" i="944"/>
  <c r="G10" i="944"/>
  <c r="I10" i="944" s="1"/>
  <c r="L9" i="944"/>
  <c r="N9" i="944" s="1"/>
  <c r="F9" i="944"/>
  <c r="G9" i="944" s="1"/>
  <c r="M14" i="950" l="1"/>
  <c r="I21" i="950"/>
  <c r="H21" i="950" s="1"/>
  <c r="M19" i="950"/>
  <c r="O21" i="950"/>
  <c r="M13" i="950"/>
  <c r="M16" i="950"/>
  <c r="M18" i="950"/>
  <c r="M15" i="950"/>
  <c r="M10" i="950"/>
  <c r="M20" i="950"/>
  <c r="M9" i="950"/>
  <c r="M21" i="950" s="1"/>
  <c r="K21" i="950"/>
  <c r="H31" i="950" s="1"/>
  <c r="G21" i="950"/>
  <c r="C29" i="950" s="1"/>
  <c r="M12" i="949"/>
  <c r="M17" i="949"/>
  <c r="M18" i="949"/>
  <c r="M14" i="949"/>
  <c r="M20" i="949"/>
  <c r="M19" i="949"/>
  <c r="M10" i="949"/>
  <c r="M11" i="949"/>
  <c r="M15" i="949"/>
  <c r="O21" i="949"/>
  <c r="M13" i="949"/>
  <c r="I9" i="949"/>
  <c r="K21" i="949"/>
  <c r="H30" i="949" s="1"/>
  <c r="O11" i="948"/>
  <c r="O13" i="948"/>
  <c r="O14" i="948"/>
  <c r="O19" i="948"/>
  <c r="O10" i="948"/>
  <c r="O15" i="948"/>
  <c r="O17" i="948"/>
  <c r="K9" i="948"/>
  <c r="H29" i="948" s="1"/>
  <c r="O18" i="948"/>
  <c r="M13" i="948"/>
  <c r="M20" i="948"/>
  <c r="M15" i="948"/>
  <c r="M18" i="948"/>
  <c r="M16" i="948"/>
  <c r="G21" i="948"/>
  <c r="C29" i="948" s="1"/>
  <c r="I9" i="948"/>
  <c r="I21" i="948" s="1"/>
  <c r="H21" i="948" s="1"/>
  <c r="O9" i="948"/>
  <c r="M19" i="948"/>
  <c r="M10" i="948"/>
  <c r="M14" i="948"/>
  <c r="M11" i="948"/>
  <c r="N15" i="947"/>
  <c r="O15" i="947" s="1"/>
  <c r="M19" i="947"/>
  <c r="M16" i="947"/>
  <c r="M10" i="947"/>
  <c r="M17" i="947"/>
  <c r="M11" i="947"/>
  <c r="M20" i="947"/>
  <c r="O9" i="947"/>
  <c r="O21" i="947" s="1"/>
  <c r="M15" i="947"/>
  <c r="M12" i="947"/>
  <c r="K21" i="947"/>
  <c r="F33" i="947" s="1"/>
  <c r="M13" i="947"/>
  <c r="M14" i="947"/>
  <c r="G9" i="947"/>
  <c r="M12" i="946"/>
  <c r="O9" i="946"/>
  <c r="O21" i="946" s="1"/>
  <c r="O20" i="946"/>
  <c r="O13" i="946"/>
  <c r="G9" i="946"/>
  <c r="I9" i="946" s="1"/>
  <c r="O16" i="946"/>
  <c r="O11" i="946"/>
  <c r="O14" i="946"/>
  <c r="O18" i="946"/>
  <c r="M17" i="946"/>
  <c r="M10" i="946"/>
  <c r="M11" i="946"/>
  <c r="M20" i="946"/>
  <c r="M14" i="946"/>
  <c r="M15" i="946"/>
  <c r="M13" i="946"/>
  <c r="I21" i="946"/>
  <c r="H21" i="946" s="1"/>
  <c r="M9" i="946"/>
  <c r="M19" i="946"/>
  <c r="M16" i="946"/>
  <c r="K21" i="946"/>
  <c r="F32" i="946" s="1"/>
  <c r="G21" i="946"/>
  <c r="C29" i="946" s="1"/>
  <c r="K21" i="945"/>
  <c r="M11" i="945"/>
  <c r="O21" i="945"/>
  <c r="N21" i="945" s="1"/>
  <c r="M18" i="945"/>
  <c r="M14" i="945"/>
  <c r="O17" i="945"/>
  <c r="M9" i="945"/>
  <c r="I21" i="945"/>
  <c r="H21" i="945" s="1"/>
  <c r="M19" i="945"/>
  <c r="M10" i="945"/>
  <c r="M20" i="945"/>
  <c r="M15" i="945"/>
  <c r="I17" i="945"/>
  <c r="M17" i="945" s="1"/>
  <c r="G21" i="945"/>
  <c r="C29" i="945" s="1"/>
  <c r="O19" i="944"/>
  <c r="O13" i="944"/>
  <c r="M11" i="944"/>
  <c r="O18" i="944"/>
  <c r="M18" i="944"/>
  <c r="O20" i="944"/>
  <c r="M20" i="944"/>
  <c r="M17" i="944"/>
  <c r="M13" i="944"/>
  <c r="O17" i="944"/>
  <c r="O15" i="944"/>
  <c r="O14" i="944"/>
  <c r="M12" i="944"/>
  <c r="O12" i="944"/>
  <c r="O11" i="944"/>
  <c r="O10" i="944"/>
  <c r="M10" i="944"/>
  <c r="M14" i="944"/>
  <c r="M19" i="944"/>
  <c r="O9" i="944"/>
  <c r="O21" i="944" s="1"/>
  <c r="G21" i="944"/>
  <c r="C29" i="944" s="1"/>
  <c r="I9" i="944"/>
  <c r="I21" i="944" s="1"/>
  <c r="H21" i="944" s="1"/>
  <c r="K9" i="944"/>
  <c r="J21" i="950" l="1"/>
  <c r="J23" i="950"/>
  <c r="C31" i="950"/>
  <c r="N21" i="950"/>
  <c r="C30" i="950"/>
  <c r="L21" i="950"/>
  <c r="F37" i="949"/>
  <c r="F38" i="949" s="1"/>
  <c r="C31" i="949"/>
  <c r="N21" i="949"/>
  <c r="I21" i="949"/>
  <c r="H21" i="949" s="1"/>
  <c r="M9" i="949"/>
  <c r="M21" i="949" s="1"/>
  <c r="J21" i="949"/>
  <c r="J23" i="949"/>
  <c r="J23" i="948"/>
  <c r="J21" i="948"/>
  <c r="O21" i="948"/>
  <c r="C31" i="948" s="1"/>
  <c r="M9" i="948"/>
  <c r="M21" i="948" s="1"/>
  <c r="C30" i="948" s="1"/>
  <c r="F39" i="948"/>
  <c r="J21" i="947"/>
  <c r="J23" i="947"/>
  <c r="C31" i="947"/>
  <c r="N21" i="947"/>
  <c r="I9" i="947"/>
  <c r="G21" i="947"/>
  <c r="C29" i="947" s="1"/>
  <c r="J21" i="946"/>
  <c r="J23" i="946"/>
  <c r="N21" i="946"/>
  <c r="C31" i="946"/>
  <c r="M21" i="946"/>
  <c r="J23" i="945"/>
  <c r="J21" i="945"/>
  <c r="C31" i="945"/>
  <c r="M21" i="945"/>
  <c r="C30" i="945" s="1"/>
  <c r="C31" i="944"/>
  <c r="N21" i="944"/>
  <c r="M9" i="944"/>
  <c r="M21" i="944" s="1"/>
  <c r="K21" i="944"/>
  <c r="F37" i="950" l="1"/>
  <c r="F38" i="950" s="1"/>
  <c r="F39" i="950" s="1"/>
  <c r="F39" i="949"/>
  <c r="C30" i="949"/>
  <c r="L21" i="949"/>
  <c r="N21" i="948"/>
  <c r="L21" i="948"/>
  <c r="I21" i="947"/>
  <c r="H21" i="947" s="1"/>
  <c r="M9" i="947"/>
  <c r="M21" i="947" s="1"/>
  <c r="F39" i="947"/>
  <c r="C30" i="946"/>
  <c r="L21" i="946"/>
  <c r="L21" i="945"/>
  <c r="J21" i="944"/>
  <c r="F30" i="944"/>
  <c r="J23" i="944"/>
  <c r="C30" i="944"/>
  <c r="L21" i="944"/>
  <c r="C30" i="947" l="1"/>
  <c r="L21" i="947"/>
  <c r="F37" i="944"/>
  <c r="F38" i="944" s="1"/>
  <c r="F39" i="9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6E765003-010D-4864-AF3D-68F201637F0D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FEB395CD-BB40-4A74-8FAB-34E17DF67CDB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4EA4298B-8367-4389-B640-634B6636223D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BBA0945F-615E-4A8D-8C7B-C3EC257920F0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586BF0B8-8D31-463C-B8AB-7598CFB3770A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C0965FE0-BF8C-4609-AF2F-A6A65FFC0E48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098AD27E-8E6F-49DE-92B2-EE7B5324127E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D9A3611B-55B1-4A89-A026-350ADCCA8564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683418DB-A7D7-455D-AF8E-BCEFDCB89583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FD9D8A57-56BA-4F95-B294-09BBD66C3AAF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BAC27FBB-B3FB-47AC-81DB-AEA2ED41C190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AB6A71FC-6F13-49EB-B225-E513F8627C00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98246B7A-CC9E-4461-B10A-C31A14C38447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08B51AA6-6D06-4D4C-AE90-48AAEABEE63F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A972CC23-9C2C-43B1-BFE7-1CAF42A624F7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94D69E0C-DA6E-497C-8E62-653AFF75587A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4B0ACF00-6245-4DC8-B0C8-1F4785D2A901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C6D04F35-866D-44BB-94A5-65D977EE7F2F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94D0852F-C00F-4930-BC2F-14BA92EC1C1C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A3355F16-9E68-40BF-B044-0C51DDB47EA7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98215334-DBBB-4114-92BC-C9B4DAF7D59D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D10A4412-5B6D-4DEE-BBCE-BC3EABD27543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737C2D53-7004-4A1C-8D07-EC169A5783F3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03BE9D8C-271B-4B01-B726-E32F38C87C82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71C6367C-25C0-4E9C-9BDD-249855EBAD1C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161F745C-C484-464E-9DAF-CDE5BD112B74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F2883877-5BDC-4F56-A976-F6806F5E4999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58B9180A-C592-47FB-A7C0-23EF444DC3D2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DC2EB389-16D7-4709-AD1B-744A849DCDB4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B8A7DCAA-6B16-446F-9579-D33D60EBCDC0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Rodrigues</author>
  </authors>
  <commentList>
    <comment ref="A2" authorId="0" shapeId="0" xr:uid="{6DE1C39F-F8C6-461D-A07A-218F1B67A604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G3" authorId="0" shapeId="0" xr:uid="{423F4E72-747A-4AC9-863E-621CA16E72D5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4" authorId="0" shapeId="0" xr:uid="{CC6BA36D-9C53-49DA-86B5-84E19306FA7F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5" authorId="0" shapeId="0" xr:uid="{756C7DEE-061D-4CD2-921C-AF82A120F4C9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  <comment ref="C6" authorId="0" shapeId="0" xr:uid="{D0E061A8-2881-4C5C-99D7-5B8C6AFF743E}">
      <text>
        <r>
          <rPr>
            <b/>
            <sz val="9"/>
            <color indexed="81"/>
            <rFont val="Segoe UI"/>
            <family val="2"/>
          </rPr>
          <t>Gabriel Rodrigues:</t>
        </r>
        <r>
          <rPr>
            <sz val="9"/>
            <color indexed="81"/>
            <rFont val="Segoe UI"/>
            <family val="2"/>
          </rPr>
          <t xml:space="preserve">
Alterar</t>
        </r>
      </text>
    </comment>
  </commentList>
</comments>
</file>

<file path=xl/sharedStrings.xml><?xml version="1.0" encoding="utf-8"?>
<sst xmlns="http://schemas.openxmlformats.org/spreadsheetml/2006/main" count="655" uniqueCount="89">
  <si>
    <t xml:space="preserve">Contratada: </t>
  </si>
  <si>
    <t xml:space="preserve">Serviço/Obra:  </t>
  </si>
  <si>
    <t xml:space="preserve">Data:  </t>
  </si>
  <si>
    <t>Valor (R$)</t>
  </si>
  <si>
    <t>Saldo Atual</t>
  </si>
  <si>
    <t>Ítem</t>
  </si>
  <si>
    <t>Descrição dos Serviços</t>
  </si>
  <si>
    <t>Quant.</t>
  </si>
  <si>
    <t>U.M.</t>
  </si>
  <si>
    <t>Valor(R$)</t>
  </si>
  <si>
    <t>Observações:</t>
  </si>
  <si>
    <t>BOLETIM DE MEDIÇÃO DE SERVIÇO - BMS</t>
  </si>
  <si>
    <t xml:space="preserve">Boletim de Medição Nº:   </t>
  </si>
  <si>
    <t>Cond. Pagto:</t>
  </si>
  <si>
    <t>Acumulado até mês anterior</t>
  </si>
  <si>
    <t>Executado no mês</t>
  </si>
  <si>
    <t>SUB TOTAL</t>
  </si>
  <si>
    <t>Acumulado até a data</t>
  </si>
  <si>
    <t xml:space="preserve">Folha nº </t>
  </si>
  <si>
    <t>Gerenciamento Aliada:</t>
  </si>
  <si>
    <t>Preço Unitário (R$)</t>
  </si>
  <si>
    <t>VALOR TOTAL (R$)</t>
  </si>
  <si>
    <t>Total Desta Medição</t>
  </si>
  <si>
    <t xml:space="preserve">Nome do Projeto:     </t>
  </si>
  <si>
    <r>
      <t>Período:</t>
    </r>
    <r>
      <rPr>
        <sz val="9"/>
        <rFont val="Arial"/>
        <family val="2"/>
      </rPr>
      <t xml:space="preserve"> </t>
    </r>
  </si>
  <si>
    <t>VALOR CONTRATUAL</t>
  </si>
  <si>
    <t>MED. 01</t>
  </si>
  <si>
    <t>MED. 06</t>
  </si>
  <si>
    <t>MED. 11</t>
  </si>
  <si>
    <t>MED. 16</t>
  </si>
  <si>
    <t>MED. 21</t>
  </si>
  <si>
    <t>MED. 02</t>
  </si>
  <si>
    <t>MED. 07</t>
  </si>
  <si>
    <t>MED. 12</t>
  </si>
  <si>
    <t>MED. 17</t>
  </si>
  <si>
    <t>MED. 22</t>
  </si>
  <si>
    <t>SALDO CONTRATUAL ($)</t>
  </si>
  <si>
    <t>MED. 03</t>
  </si>
  <si>
    <t>MED. 08</t>
  </si>
  <si>
    <t>MED. 13</t>
  </si>
  <si>
    <t>MED. 18</t>
  </si>
  <si>
    <t>MED. 23</t>
  </si>
  <si>
    <t>MED. 04</t>
  </si>
  <si>
    <t>MED. 09</t>
  </si>
  <si>
    <t>MED. 14</t>
  </si>
  <si>
    <t>MED. 19</t>
  </si>
  <si>
    <t>MED. 24</t>
  </si>
  <si>
    <t>MED. 10</t>
  </si>
  <si>
    <t>MED. 15</t>
  </si>
  <si>
    <t>MED. 20</t>
  </si>
  <si>
    <t>VALOR TOTAL ACUMULADO ( $ )</t>
  </si>
  <si>
    <t>HISTÓRICO</t>
  </si>
  <si>
    <t>vb</t>
  </si>
  <si>
    <t>PROJETOS, MOBILIZAÇÕES E CANTEIRO</t>
  </si>
  <si>
    <t>JOGAB MONTAGENS E CONSTRUÇÕES</t>
  </si>
  <si>
    <t>Contrato:</t>
  </si>
  <si>
    <t xml:space="preserve">Valor Total Contrato(R$):   </t>
  </si>
  <si>
    <t>BMS 01</t>
  </si>
  <si>
    <t>ANTECIPAÇÃO</t>
  </si>
  <si>
    <t>Humus Agroterra - Fazenda São Vicente</t>
  </si>
  <si>
    <t>Adutora/Reservatórios/Bombeamento</t>
  </si>
  <si>
    <t>5 DDL</t>
  </si>
  <si>
    <t>08/01/2026 - 02/02/2026</t>
  </si>
  <si>
    <t>ANTECIP.</t>
  </si>
  <si>
    <t>ADUTORA - TRECHO 01</t>
  </si>
  <si>
    <t>ADUTORA - TRECHO 02</t>
  </si>
  <si>
    <t>ADUTORA - TRECHO 03</t>
  </si>
  <si>
    <t>CAIXA DERIVAÇÃO</t>
  </si>
  <si>
    <t>TRAVESSÍA AÉREA - REPRESA</t>
  </si>
  <si>
    <t>BOMBEAMENTO BOOSTER</t>
  </si>
  <si>
    <t>RESERVATÓRIO 01</t>
  </si>
  <si>
    <t>RESERVATÓRIO 02</t>
  </si>
  <si>
    <t>Irrigação</t>
  </si>
  <si>
    <t>SERVIÇOS COMPLEMENTARES</t>
  </si>
  <si>
    <t>PÓRTICO - ABASTECIMENTO CAMINHÕES</t>
  </si>
  <si>
    <t>BMS 02</t>
  </si>
  <si>
    <t>03/02/2026 - 15/02/2026</t>
  </si>
  <si>
    <t>BMS 03</t>
  </si>
  <si>
    <t>16/02/2026 - 03/03/2026</t>
  </si>
  <si>
    <t>BMS 04</t>
  </si>
  <si>
    <t>04/03/2026 - 27/03/2026</t>
  </si>
  <si>
    <t>MED. 05</t>
  </si>
  <si>
    <t>BMS 05</t>
  </si>
  <si>
    <t>28/03/2026 - 04/05/2026</t>
  </si>
  <si>
    <t>BMS 06</t>
  </si>
  <si>
    <t>05/05/2026 - 01/06/2026</t>
  </si>
  <si>
    <t>Real(%)</t>
  </si>
  <si>
    <t>BMS 07</t>
  </si>
  <si>
    <t>02/06/2026 - 16/06/2026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</si>
</sst>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"/>
    <numFmt numFmtId="166" formatCode="d/m/yyyy;@"/>
    <numFmt numFmtId="167" formatCode="_-* #,##0.0000000000000000000_-;\-* #,##0.0000000000000000000_-;_-* &quot;-&quot;??_-;_-@_-"/>
    <numFmt numFmtId="168" formatCode="&quot;R$&quot;\ #,##0.00"/>
    <numFmt numFmtId="169" formatCode="0000.00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sz val="8"/>
      <color rgb="FF000000"/>
      <name val="Tahoma"/>
      <family val="2"/>
    </font>
    <font>
      <sz val="14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bgColor rgb="FFA19E8F"/>
      </patternFill>
    </fill>
    <fill>
      <patternFill patternType="solid">
        <fgColor rgb="FFE5E1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1" fillId="0" borderId="0"/>
  </cellStyleXfs>
  <cellXfs count="163"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0" fillId="2" borderId="0" xfId="0" applyFill="1"/>
    <xf numFmtId="0" fontId="0" fillId="4" borderId="0" xfId="0" applyFill="1"/>
    <xf numFmtId="0" fontId="0" fillId="4" borderId="2" xfId="0" applyFill="1" applyBorder="1"/>
    <xf numFmtId="0" fontId="0" fillId="2" borderId="4" xfId="0" applyFill="1" applyBorder="1"/>
    <xf numFmtId="0" fontId="0" fillId="2" borderId="2" xfId="0" applyFill="1" applyBorder="1"/>
    <xf numFmtId="0" fontId="0" fillId="0" borderId="4" xfId="0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4" borderId="1" xfId="0" applyFill="1" applyBorder="1"/>
    <xf numFmtId="0" fontId="0" fillId="4" borderId="6" xfId="0" applyFill="1" applyBorder="1"/>
    <xf numFmtId="9" fontId="4" fillId="0" borderId="20" xfId="1" applyFont="1" applyFill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164" fontId="7" fillId="0" borderId="8" xfId="2" applyFont="1" applyFill="1" applyBorder="1" applyAlignment="1">
      <alignment horizontal="right" vertical="center"/>
    </xf>
    <xf numFmtId="164" fontId="7" fillId="3" borderId="21" xfId="2" applyFont="1" applyFill="1" applyBorder="1" applyAlignment="1">
      <alignment horizontal="right" vertical="center"/>
    </xf>
    <xf numFmtId="164" fontId="7" fillId="0" borderId="29" xfId="0" applyNumberFormat="1" applyFont="1" applyBorder="1" applyAlignment="1">
      <alignment horizontal="right" vertical="center"/>
    </xf>
    <xf numFmtId="0" fontId="4" fillId="0" borderId="20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7" fillId="0" borderId="7" xfId="1" applyNumberFormat="1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65" fontId="15" fillId="7" borderId="5" xfId="3" applyNumberFormat="1" applyFont="1" applyFill="1" applyBorder="1" applyAlignment="1">
      <alignment horizontal="center" vertical="top"/>
    </xf>
    <xf numFmtId="165" fontId="15" fillId="7" borderId="1" xfId="3" applyNumberFormat="1" applyFont="1" applyFill="1" applyBorder="1" applyAlignment="1">
      <alignment horizontal="center" vertical="top"/>
    </xf>
    <xf numFmtId="165" fontId="9" fillId="7" borderId="1" xfId="3" applyNumberFormat="1" applyFont="1" applyFill="1" applyBorder="1" applyAlignment="1">
      <alignment horizontal="center" vertical="top"/>
    </xf>
    <xf numFmtId="165" fontId="15" fillId="7" borderId="6" xfId="3" applyNumberFormat="1" applyFont="1" applyFill="1" applyBorder="1" applyAlignment="1">
      <alignment horizontal="center" vertical="top"/>
    </xf>
    <xf numFmtId="165" fontId="12" fillId="7" borderId="20" xfId="3" applyNumberFormat="1" applyFont="1" applyFill="1" applyBorder="1" applyAlignment="1">
      <alignment horizontal="center" vertical="center"/>
    </xf>
    <xf numFmtId="164" fontId="12" fillId="7" borderId="20" xfId="2" applyFont="1" applyFill="1" applyBorder="1" applyAlignment="1">
      <alignment horizontal="center" vertical="center"/>
    </xf>
    <xf numFmtId="166" fontId="12" fillId="7" borderId="21" xfId="3" applyNumberFormat="1" applyFont="1" applyFill="1" applyBorder="1" applyAlignment="1">
      <alignment horizontal="center" vertical="center"/>
    </xf>
    <xf numFmtId="164" fontId="12" fillId="7" borderId="8" xfId="2" applyFont="1" applyFill="1" applyBorder="1" applyAlignment="1">
      <alignment horizontal="center" vertical="center"/>
    </xf>
    <xf numFmtId="10" fontId="7" fillId="0" borderId="7" xfId="1" applyNumberFormat="1" applyFont="1" applyFill="1" applyBorder="1" applyAlignment="1">
      <alignment horizontal="center" vertical="center"/>
    </xf>
    <xf numFmtId="10" fontId="7" fillId="3" borderId="22" xfId="1" applyNumberFormat="1" applyFont="1" applyFill="1" applyBorder="1" applyAlignment="1">
      <alignment horizontal="center" vertical="center"/>
    </xf>
    <xf numFmtId="168" fontId="15" fillId="7" borderId="1" xfId="3" applyNumberFormat="1" applyFont="1" applyFill="1" applyBorder="1" applyAlignment="1">
      <alignment horizontal="center" vertical="top"/>
    </xf>
    <xf numFmtId="169" fontId="15" fillId="7" borderId="1" xfId="3" applyNumberFormat="1" applyFont="1" applyFill="1" applyBorder="1" applyAlignment="1">
      <alignment horizontal="center" vertical="top"/>
    </xf>
    <xf numFmtId="0" fontId="10" fillId="9" borderId="17" xfId="0" applyFont="1" applyFill="1" applyBorder="1" applyAlignment="1">
      <alignment vertical="center"/>
    </xf>
    <xf numFmtId="0" fontId="10" fillId="9" borderId="19" xfId="0" applyFont="1" applyFill="1" applyBorder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164" fontId="12" fillId="5" borderId="40" xfId="2" applyFont="1" applyFill="1" applyBorder="1" applyAlignment="1">
      <alignment horizontal="center" vertical="center"/>
    </xf>
    <xf numFmtId="10" fontId="12" fillId="5" borderId="41" xfId="1" applyNumberFormat="1" applyFont="1" applyFill="1" applyBorder="1" applyAlignment="1">
      <alignment horizontal="center" vertical="center"/>
    </xf>
    <xf numFmtId="10" fontId="12" fillId="5" borderId="42" xfId="1" applyNumberFormat="1" applyFont="1" applyFill="1" applyBorder="1" applyAlignment="1">
      <alignment horizontal="center" vertical="center"/>
    </xf>
    <xf numFmtId="164" fontId="12" fillId="5" borderId="43" xfId="2" applyFont="1" applyFill="1" applyBorder="1" applyAlignment="1">
      <alignment horizontal="center" vertical="center"/>
    </xf>
    <xf numFmtId="164" fontId="12" fillId="5" borderId="44" xfId="2" applyFont="1" applyFill="1" applyBorder="1" applyAlignment="1">
      <alignment horizontal="center" vertical="center"/>
    </xf>
    <xf numFmtId="164" fontId="12" fillId="5" borderId="44" xfId="0" applyNumberFormat="1" applyFont="1" applyFill="1" applyBorder="1" applyAlignment="1">
      <alignment horizontal="center" vertical="center"/>
    </xf>
    <xf numFmtId="164" fontId="7" fillId="3" borderId="8" xfId="2" applyFont="1" applyFill="1" applyBorder="1" applyAlignment="1">
      <alignment vertical="center"/>
    </xf>
    <xf numFmtId="0" fontId="7" fillId="0" borderId="16" xfId="1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4" fontId="7" fillId="0" borderId="46" xfId="0" applyNumberFormat="1" applyFont="1" applyBorder="1" applyAlignment="1">
      <alignment horizontal="right" vertical="center"/>
    </xf>
    <xf numFmtId="10" fontId="7" fillId="0" borderId="16" xfId="1" applyNumberFormat="1" applyFont="1" applyFill="1" applyBorder="1" applyAlignment="1">
      <alignment horizontal="center" vertical="center"/>
    </xf>
    <xf numFmtId="164" fontId="7" fillId="0" borderId="47" xfId="2" applyFont="1" applyFill="1" applyBorder="1" applyAlignment="1">
      <alignment horizontal="right" vertical="center"/>
    </xf>
    <xf numFmtId="10" fontId="7" fillId="3" borderId="48" xfId="1" applyNumberFormat="1" applyFont="1" applyFill="1" applyBorder="1" applyAlignment="1">
      <alignment horizontal="center" vertical="center"/>
    </xf>
    <xf numFmtId="164" fontId="7" fillId="3" borderId="45" xfId="2" applyFont="1" applyFill="1" applyBorder="1" applyAlignment="1">
      <alignment horizontal="right" vertical="center"/>
    </xf>
    <xf numFmtId="164" fontId="7" fillId="3" borderId="47" xfId="2" applyFont="1" applyFill="1" applyBorder="1" applyAlignment="1">
      <alignment vertical="center"/>
    </xf>
    <xf numFmtId="43" fontId="0" fillId="0" borderId="0" xfId="0" applyNumberFormat="1"/>
    <xf numFmtId="0" fontId="12" fillId="0" borderId="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7" fillId="0" borderId="24" xfId="1" applyNumberFormat="1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164" fontId="7" fillId="0" borderId="33" xfId="0" applyNumberFormat="1" applyFont="1" applyBorder="1" applyAlignment="1">
      <alignment horizontal="right" vertical="center"/>
    </xf>
    <xf numFmtId="10" fontId="7" fillId="0" borderId="24" xfId="1" applyNumberFormat="1" applyFont="1" applyFill="1" applyBorder="1" applyAlignment="1">
      <alignment horizontal="center" vertical="center"/>
    </xf>
    <xf numFmtId="164" fontId="7" fillId="0" borderId="26" xfId="2" applyFont="1" applyFill="1" applyBorder="1" applyAlignment="1">
      <alignment horizontal="right" vertical="center"/>
    </xf>
    <xf numFmtId="10" fontId="7" fillId="3" borderId="30" xfId="1" applyNumberFormat="1" applyFont="1" applyFill="1" applyBorder="1" applyAlignment="1">
      <alignment horizontal="center" vertical="center"/>
    </xf>
    <xf numFmtId="164" fontId="7" fillId="3" borderId="39" xfId="2" applyFont="1" applyFill="1" applyBorder="1" applyAlignment="1">
      <alignment horizontal="right" vertical="center"/>
    </xf>
    <xf numFmtId="164" fontId="7" fillId="3" borderId="26" xfId="2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10" fontId="6" fillId="0" borderId="0" xfId="0" applyNumberFormat="1" applyFont="1"/>
    <xf numFmtId="164" fontId="12" fillId="7" borderId="21" xfId="2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165" fontId="12" fillId="7" borderId="23" xfId="3" applyNumberFormat="1" applyFont="1" applyFill="1" applyBorder="1" applyAlignment="1">
      <alignment horizontal="left" vertical="center"/>
    </xf>
    <xf numFmtId="165" fontId="12" fillId="7" borderId="22" xfId="3" applyNumberFormat="1" applyFont="1" applyFill="1" applyBorder="1" applyAlignment="1">
      <alignment horizontal="left" vertical="center"/>
    </xf>
    <xf numFmtId="165" fontId="12" fillId="7" borderId="21" xfId="3" applyNumberFormat="1" applyFont="1" applyFill="1" applyBorder="1" applyAlignment="1">
      <alignment horizontal="center" vertical="center"/>
    </xf>
    <xf numFmtId="165" fontId="12" fillId="7" borderId="22" xfId="3" applyNumberFormat="1" applyFont="1" applyFill="1" applyBorder="1" applyAlignment="1">
      <alignment horizontal="center" vertical="center"/>
    </xf>
    <xf numFmtId="164" fontId="12" fillId="7" borderId="21" xfId="2" applyFont="1" applyFill="1" applyBorder="1" applyAlignment="1">
      <alignment horizontal="center" vertical="center"/>
    </xf>
    <xf numFmtId="164" fontId="12" fillId="7" borderId="22" xfId="2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164" fontId="13" fillId="9" borderId="17" xfId="2" applyFont="1" applyFill="1" applyBorder="1" applyAlignment="1">
      <alignment horizontal="center" vertical="center"/>
    </xf>
    <xf numFmtId="164" fontId="13" fillId="9" borderId="19" xfId="2" applyFont="1" applyFill="1" applyBorder="1" applyAlignment="1">
      <alignment horizontal="center" vertical="center"/>
    </xf>
    <xf numFmtId="164" fontId="13" fillId="9" borderId="18" xfId="2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65" fontId="9" fillId="6" borderId="31" xfId="3" applyNumberFormat="1" applyFont="1" applyFill="1" applyBorder="1" applyAlignment="1">
      <alignment horizontal="center" vertical="center"/>
    </xf>
    <xf numFmtId="165" fontId="9" fillId="6" borderId="32" xfId="3" applyNumberFormat="1" applyFont="1" applyFill="1" applyBorder="1" applyAlignment="1">
      <alignment horizontal="center" vertical="center"/>
    </xf>
    <xf numFmtId="165" fontId="9" fillId="6" borderId="9" xfId="3" applyNumberFormat="1" applyFont="1" applyFill="1" applyBorder="1" applyAlignment="1">
      <alignment horizontal="center" vertical="center"/>
    </xf>
    <xf numFmtId="165" fontId="9" fillId="6" borderId="33" xfId="3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12" fillId="0" borderId="2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5" borderId="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5" xfId="0" quotePrefix="1" applyFont="1" applyBorder="1" applyAlignment="1">
      <alignment horizontal="left" vertical="center"/>
    </xf>
    <xf numFmtId="4" fontId="1" fillId="0" borderId="15" xfId="0" applyNumberFormat="1" applyFont="1" applyBorder="1" applyAlignment="1">
      <alignment horizontal="center" vertical="center"/>
    </xf>
    <xf numFmtId="4" fontId="1" fillId="0" borderId="27" xfId="0" applyNumberFormat="1" applyFont="1" applyBorder="1" applyAlignment="1">
      <alignment horizontal="center" vertical="center"/>
    </xf>
    <xf numFmtId="17" fontId="1" fillId="8" borderId="15" xfId="0" applyNumberFormat="1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2" xfId="0" quotePrefix="1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167" fontId="1" fillId="0" borderId="20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1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3" xfId="0" quotePrefix="1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</cellXfs>
  <cellStyles count="5">
    <cellStyle name="Moeda" xfId="2" builtinId="4"/>
    <cellStyle name="Normal" xfId="0" builtinId="0"/>
    <cellStyle name="Normal 2 15" xfId="4" xr:uid="{0AD35769-41EF-41BE-A9FB-EBA4CF12EB0B}"/>
    <cellStyle name="Normal_EMC1ª069" xfId="3" xr:uid="{00000000-0005-0000-0000-000002000000}"/>
    <cellStyle name="Porcentagem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E1DE"/>
      <color rgb="FFDEDEDE"/>
      <color rgb="FF99FF33"/>
      <color rgb="FFCCFF33"/>
      <color rgb="FF8C5660"/>
      <color rgb="FFA01C8D"/>
      <color rgb="FF666666"/>
      <color rgb="FFA19E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firstButton="1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Radio" firstButton="1" lockText="1" noThreeD="1"/>
</file>

<file path=xl/ctrlProps/ctrlProp10.xml><?xml version="1.0" encoding="utf-8"?>
<formControlPr xmlns="http://schemas.microsoft.com/office/spreadsheetml/2009/9/main" objectType="Radio" checked="Checked" lockText="1" noThreeD="1"/>
</file>

<file path=xl/ctrlProps/ctrlProp11.xml><?xml version="1.0" encoding="utf-8"?>
<formControlPr xmlns="http://schemas.microsoft.com/office/spreadsheetml/2009/9/main" objectType="Radio" firstButton="1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firstButton="1" lockText="1" noThreeD="1"/>
</file>

<file path=xl/ctrlProps/ctrlProp14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18433" name="Option 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0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18434" name="Option 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0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24</xdr:row>
      <xdr:rowOff>88899</xdr:rowOff>
    </xdr:from>
    <xdr:to>
      <xdr:col>2</xdr:col>
      <xdr:colOff>925286</xdr:colOff>
      <xdr:row>25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6522950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24</xdr:row>
      <xdr:rowOff>76199</xdr:rowOff>
    </xdr:from>
    <xdr:to>
      <xdr:col>9</xdr:col>
      <xdr:colOff>743032</xdr:colOff>
      <xdr:row>25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6510250"/>
          <a:ext cx="6110143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24</xdr:row>
      <xdr:rowOff>93434</xdr:rowOff>
    </xdr:from>
    <xdr:to>
      <xdr:col>2</xdr:col>
      <xdr:colOff>1673306</xdr:colOff>
      <xdr:row>24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6527485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24</xdr:row>
      <xdr:rowOff>87084</xdr:rowOff>
    </xdr:from>
    <xdr:to>
      <xdr:col>9</xdr:col>
      <xdr:colOff>787027</xdr:colOff>
      <xdr:row>24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6521135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25</xdr:row>
      <xdr:rowOff>567865</xdr:rowOff>
    </xdr:from>
    <xdr:to>
      <xdr:col>2</xdr:col>
      <xdr:colOff>938864</xdr:colOff>
      <xdr:row>25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7159858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25</xdr:row>
      <xdr:rowOff>555165</xdr:rowOff>
    </xdr:from>
    <xdr:to>
      <xdr:col>9</xdr:col>
      <xdr:colOff>745755</xdr:colOff>
      <xdr:row>25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7147158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25</xdr:row>
      <xdr:rowOff>586007</xdr:rowOff>
    </xdr:from>
    <xdr:to>
      <xdr:col>2</xdr:col>
      <xdr:colOff>1676029</xdr:colOff>
      <xdr:row>25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7178000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25</xdr:row>
      <xdr:rowOff>579657</xdr:rowOff>
    </xdr:from>
    <xdr:to>
      <xdr:col>9</xdr:col>
      <xdr:colOff>748929</xdr:colOff>
      <xdr:row>25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7171650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19457" name="Option 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1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19458" name="Option 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1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24</xdr:row>
      <xdr:rowOff>88899</xdr:rowOff>
    </xdr:from>
    <xdr:to>
      <xdr:col>2</xdr:col>
      <xdr:colOff>925286</xdr:colOff>
      <xdr:row>25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6772332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24</xdr:row>
      <xdr:rowOff>76199</xdr:rowOff>
    </xdr:from>
    <xdr:to>
      <xdr:col>9</xdr:col>
      <xdr:colOff>743032</xdr:colOff>
      <xdr:row>25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6759632"/>
          <a:ext cx="6110143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24</xdr:row>
      <xdr:rowOff>93434</xdr:rowOff>
    </xdr:from>
    <xdr:to>
      <xdr:col>2</xdr:col>
      <xdr:colOff>1673306</xdr:colOff>
      <xdr:row>24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6776867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24</xdr:row>
      <xdr:rowOff>87084</xdr:rowOff>
    </xdr:from>
    <xdr:to>
      <xdr:col>9</xdr:col>
      <xdr:colOff>787027</xdr:colOff>
      <xdr:row>24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6770517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25</xdr:row>
      <xdr:rowOff>567865</xdr:rowOff>
    </xdr:from>
    <xdr:to>
      <xdr:col>2</xdr:col>
      <xdr:colOff>938864</xdr:colOff>
      <xdr:row>25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740924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25</xdr:row>
      <xdr:rowOff>555165</xdr:rowOff>
    </xdr:from>
    <xdr:to>
      <xdr:col>9</xdr:col>
      <xdr:colOff>745755</xdr:colOff>
      <xdr:row>25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739654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25</xdr:row>
      <xdr:rowOff>586007</xdr:rowOff>
    </xdr:from>
    <xdr:to>
      <xdr:col>2</xdr:col>
      <xdr:colOff>1676029</xdr:colOff>
      <xdr:row>25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742738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25</xdr:row>
      <xdr:rowOff>579657</xdr:rowOff>
    </xdr:from>
    <xdr:to>
      <xdr:col>9</xdr:col>
      <xdr:colOff>748929</xdr:colOff>
      <xdr:row>25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742103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20481" name="Option 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2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20482" name="Option Button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2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24</xdr:row>
      <xdr:rowOff>88899</xdr:rowOff>
    </xdr:from>
    <xdr:to>
      <xdr:col>2</xdr:col>
      <xdr:colOff>925286</xdr:colOff>
      <xdr:row>25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6772332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24</xdr:row>
      <xdr:rowOff>76199</xdr:rowOff>
    </xdr:from>
    <xdr:to>
      <xdr:col>9</xdr:col>
      <xdr:colOff>743032</xdr:colOff>
      <xdr:row>25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6759632"/>
          <a:ext cx="6110143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24</xdr:row>
      <xdr:rowOff>93434</xdr:rowOff>
    </xdr:from>
    <xdr:to>
      <xdr:col>2</xdr:col>
      <xdr:colOff>1673306</xdr:colOff>
      <xdr:row>24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6776867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24</xdr:row>
      <xdr:rowOff>87084</xdr:rowOff>
    </xdr:from>
    <xdr:to>
      <xdr:col>9</xdr:col>
      <xdr:colOff>787027</xdr:colOff>
      <xdr:row>24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6770517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25</xdr:row>
      <xdr:rowOff>567865</xdr:rowOff>
    </xdr:from>
    <xdr:to>
      <xdr:col>2</xdr:col>
      <xdr:colOff>938864</xdr:colOff>
      <xdr:row>25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740924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25</xdr:row>
      <xdr:rowOff>555165</xdr:rowOff>
    </xdr:from>
    <xdr:to>
      <xdr:col>9</xdr:col>
      <xdr:colOff>745755</xdr:colOff>
      <xdr:row>25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739654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25</xdr:row>
      <xdr:rowOff>586007</xdr:rowOff>
    </xdr:from>
    <xdr:to>
      <xdr:col>2</xdr:col>
      <xdr:colOff>1676029</xdr:colOff>
      <xdr:row>25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742738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25</xdr:row>
      <xdr:rowOff>579657</xdr:rowOff>
    </xdr:from>
    <xdr:to>
      <xdr:col>9</xdr:col>
      <xdr:colOff>748929</xdr:colOff>
      <xdr:row>25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742103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21505" name="Option 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3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21506" name="Option 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3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24</xdr:row>
      <xdr:rowOff>88899</xdr:rowOff>
    </xdr:from>
    <xdr:to>
      <xdr:col>2</xdr:col>
      <xdr:colOff>925286</xdr:colOff>
      <xdr:row>25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6772332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24</xdr:row>
      <xdr:rowOff>76199</xdr:rowOff>
    </xdr:from>
    <xdr:to>
      <xdr:col>9</xdr:col>
      <xdr:colOff>743032</xdr:colOff>
      <xdr:row>25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6759632"/>
          <a:ext cx="6110143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24</xdr:row>
      <xdr:rowOff>93434</xdr:rowOff>
    </xdr:from>
    <xdr:to>
      <xdr:col>2</xdr:col>
      <xdr:colOff>1673306</xdr:colOff>
      <xdr:row>24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6776867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24</xdr:row>
      <xdr:rowOff>87084</xdr:rowOff>
    </xdr:from>
    <xdr:to>
      <xdr:col>9</xdr:col>
      <xdr:colOff>787027</xdr:colOff>
      <xdr:row>24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6770517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25</xdr:row>
      <xdr:rowOff>567865</xdr:rowOff>
    </xdr:from>
    <xdr:to>
      <xdr:col>2</xdr:col>
      <xdr:colOff>938864</xdr:colOff>
      <xdr:row>25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740924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25</xdr:row>
      <xdr:rowOff>555165</xdr:rowOff>
    </xdr:from>
    <xdr:to>
      <xdr:col>9</xdr:col>
      <xdr:colOff>745755</xdr:colOff>
      <xdr:row>25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739654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25</xdr:row>
      <xdr:rowOff>586007</xdr:rowOff>
    </xdr:from>
    <xdr:to>
      <xdr:col>2</xdr:col>
      <xdr:colOff>1676029</xdr:colOff>
      <xdr:row>25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742738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25</xdr:row>
      <xdr:rowOff>579657</xdr:rowOff>
    </xdr:from>
    <xdr:to>
      <xdr:col>9</xdr:col>
      <xdr:colOff>748929</xdr:colOff>
      <xdr:row>25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742103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22529" name="Option 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4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22530" name="Option Butto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4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24</xdr:row>
      <xdr:rowOff>88899</xdr:rowOff>
    </xdr:from>
    <xdr:to>
      <xdr:col>2</xdr:col>
      <xdr:colOff>925286</xdr:colOff>
      <xdr:row>25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6772332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24</xdr:row>
      <xdr:rowOff>76199</xdr:rowOff>
    </xdr:from>
    <xdr:to>
      <xdr:col>9</xdr:col>
      <xdr:colOff>743032</xdr:colOff>
      <xdr:row>25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6759632"/>
          <a:ext cx="6110143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24</xdr:row>
      <xdr:rowOff>93434</xdr:rowOff>
    </xdr:from>
    <xdr:to>
      <xdr:col>2</xdr:col>
      <xdr:colOff>1673306</xdr:colOff>
      <xdr:row>24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6776867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24</xdr:row>
      <xdr:rowOff>87084</xdr:rowOff>
    </xdr:from>
    <xdr:to>
      <xdr:col>9</xdr:col>
      <xdr:colOff>787027</xdr:colOff>
      <xdr:row>24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6770517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25</xdr:row>
      <xdr:rowOff>567865</xdr:rowOff>
    </xdr:from>
    <xdr:to>
      <xdr:col>2</xdr:col>
      <xdr:colOff>938864</xdr:colOff>
      <xdr:row>25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740924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25</xdr:row>
      <xdr:rowOff>555165</xdr:rowOff>
    </xdr:from>
    <xdr:to>
      <xdr:col>9</xdr:col>
      <xdr:colOff>745755</xdr:colOff>
      <xdr:row>25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739654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25</xdr:row>
      <xdr:rowOff>586007</xdr:rowOff>
    </xdr:from>
    <xdr:to>
      <xdr:col>2</xdr:col>
      <xdr:colOff>1676029</xdr:colOff>
      <xdr:row>25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742738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25</xdr:row>
      <xdr:rowOff>579657</xdr:rowOff>
    </xdr:from>
    <xdr:to>
      <xdr:col>9</xdr:col>
      <xdr:colOff>748929</xdr:colOff>
      <xdr:row>25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742103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23553" name="Option Butto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5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23554" name="Option Button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5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24</xdr:row>
      <xdr:rowOff>88899</xdr:rowOff>
    </xdr:from>
    <xdr:to>
      <xdr:col>2</xdr:col>
      <xdr:colOff>925286</xdr:colOff>
      <xdr:row>25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6772332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24</xdr:row>
      <xdr:rowOff>76199</xdr:rowOff>
    </xdr:from>
    <xdr:to>
      <xdr:col>9</xdr:col>
      <xdr:colOff>743032</xdr:colOff>
      <xdr:row>25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6759632"/>
          <a:ext cx="6110143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24</xdr:row>
      <xdr:rowOff>93434</xdr:rowOff>
    </xdr:from>
    <xdr:to>
      <xdr:col>2</xdr:col>
      <xdr:colOff>1673306</xdr:colOff>
      <xdr:row>24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6776867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24</xdr:row>
      <xdr:rowOff>87084</xdr:rowOff>
    </xdr:from>
    <xdr:to>
      <xdr:col>9</xdr:col>
      <xdr:colOff>787027</xdr:colOff>
      <xdr:row>24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6770517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25</xdr:row>
      <xdr:rowOff>567865</xdr:rowOff>
    </xdr:from>
    <xdr:to>
      <xdr:col>2</xdr:col>
      <xdr:colOff>938864</xdr:colOff>
      <xdr:row>25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740924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25</xdr:row>
      <xdr:rowOff>555165</xdr:rowOff>
    </xdr:from>
    <xdr:to>
      <xdr:col>9</xdr:col>
      <xdr:colOff>745755</xdr:colOff>
      <xdr:row>25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739654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25</xdr:row>
      <xdr:rowOff>586007</xdr:rowOff>
    </xdr:from>
    <xdr:to>
      <xdr:col>2</xdr:col>
      <xdr:colOff>1676029</xdr:colOff>
      <xdr:row>25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742738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25</xdr:row>
      <xdr:rowOff>579657</xdr:rowOff>
    </xdr:from>
    <xdr:to>
      <xdr:col>9</xdr:col>
      <xdr:colOff>748929</xdr:colOff>
      <xdr:row>25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742103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382385</xdr:colOff>
          <xdr:row>2</xdr:row>
          <xdr:rowOff>0</xdr:rowOff>
        </xdr:from>
        <xdr:to>
          <xdr:col>14</xdr:col>
          <xdr:colOff>1055716</xdr:colOff>
          <xdr:row>3</xdr:row>
          <xdr:rowOff>0</xdr:rowOff>
        </xdr:to>
        <xdr:sp macro="" textlink="">
          <xdr:nvSpPr>
            <xdr:cNvPr id="24577" name="Option 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6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507076</xdr:colOff>
          <xdr:row>1</xdr:row>
          <xdr:rowOff>232756</xdr:rowOff>
        </xdr:from>
        <xdr:to>
          <xdr:col>14</xdr:col>
          <xdr:colOff>49876</xdr:colOff>
          <xdr:row>3</xdr:row>
          <xdr:rowOff>8313</xdr:rowOff>
        </xdr:to>
        <xdr:sp macro="" textlink="">
          <xdr:nvSpPr>
            <xdr:cNvPr id="24578" name="Option Button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6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201706</xdr:colOff>
      <xdr:row>0</xdr:row>
      <xdr:rowOff>22411</xdr:rowOff>
    </xdr:from>
    <xdr:to>
      <xdr:col>1</xdr:col>
      <xdr:colOff>1852812</xdr:colOff>
      <xdr:row>0</xdr:row>
      <xdr:rowOff>769062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2411"/>
          <a:ext cx="2199746" cy="746651"/>
        </a:xfrm>
        <a:prstGeom prst="rect">
          <a:avLst/>
        </a:prstGeom>
      </xdr:spPr>
    </xdr:pic>
    <xdr:clientData/>
  </xdr:twoCellAnchor>
  <xdr:twoCellAnchor>
    <xdr:from>
      <xdr:col>1</xdr:col>
      <xdr:colOff>1000575</xdr:colOff>
      <xdr:row>24</xdr:row>
      <xdr:rowOff>88899</xdr:rowOff>
    </xdr:from>
    <xdr:to>
      <xdr:col>2</xdr:col>
      <xdr:colOff>925286</xdr:colOff>
      <xdr:row>25</xdr:row>
      <xdr:rowOff>179613</xdr:rowOff>
    </xdr:to>
    <xdr:sp macro="" textlink="">
      <xdr:nvSpPr>
        <xdr:cNvPr id="5" name="Texto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1549215" y="6772332"/>
          <a:ext cx="1994580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Contratada</a:t>
          </a:r>
        </a:p>
      </xdr:txBody>
    </xdr:sp>
    <xdr:clientData/>
  </xdr:twoCellAnchor>
  <xdr:twoCellAnchor>
    <xdr:from>
      <xdr:col>4</xdr:col>
      <xdr:colOff>327107</xdr:colOff>
      <xdr:row>24</xdr:row>
      <xdr:rowOff>76199</xdr:rowOff>
    </xdr:from>
    <xdr:to>
      <xdr:col>9</xdr:col>
      <xdr:colOff>743032</xdr:colOff>
      <xdr:row>25</xdr:row>
      <xdr:rowOff>166913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5422809" y="6759632"/>
          <a:ext cx="6110143" cy="2486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Supervisor Execução -</a:t>
          </a:r>
          <a:r>
            <a:rPr lang="pt-BR" sz="900" b="0" i="0" strike="noStrike" baseline="0">
              <a:solidFill>
                <a:srgbClr val="000000"/>
              </a:solidFill>
              <a:latin typeface="Arial"/>
              <a:cs typeface="Arial"/>
            </a:rPr>
            <a:t> Contratante</a:t>
          </a:r>
        </a:p>
      </xdr:txBody>
    </xdr:sp>
    <xdr:clientData/>
  </xdr:twoCellAnchor>
  <xdr:twoCellAnchor>
    <xdr:from>
      <xdr:col>1</xdr:col>
      <xdr:colOff>424544</xdr:colOff>
      <xdr:row>24</xdr:row>
      <xdr:rowOff>93434</xdr:rowOff>
    </xdr:from>
    <xdr:to>
      <xdr:col>2</xdr:col>
      <xdr:colOff>1673306</xdr:colOff>
      <xdr:row>24</xdr:row>
      <xdr:rowOff>94793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ShapeType="1"/>
        </xdr:cNvSpPr>
      </xdr:nvSpPr>
      <xdr:spPr bwMode="auto">
        <a:xfrm flipH="1">
          <a:off x="973184" y="6776867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354240</xdr:colOff>
      <xdr:row>24</xdr:row>
      <xdr:rowOff>87084</xdr:rowOff>
    </xdr:from>
    <xdr:to>
      <xdr:col>9</xdr:col>
      <xdr:colOff>787027</xdr:colOff>
      <xdr:row>24</xdr:row>
      <xdr:rowOff>88443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ShapeType="1"/>
        </xdr:cNvSpPr>
      </xdr:nvSpPr>
      <xdr:spPr bwMode="auto">
        <a:xfrm flipH="1">
          <a:off x="5449942" y="6770517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1003298</xdr:colOff>
      <xdr:row>25</xdr:row>
      <xdr:rowOff>567865</xdr:rowOff>
    </xdr:from>
    <xdr:to>
      <xdr:col>2</xdr:col>
      <xdr:colOff>938864</xdr:colOff>
      <xdr:row>25</xdr:row>
      <xdr:rowOff>821865</xdr:rowOff>
    </xdr:to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1551938" y="7409240"/>
          <a:ext cx="2005435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 strike="noStrike">
              <a:solidFill>
                <a:srgbClr val="000000"/>
              </a:solidFill>
              <a:latin typeface="+mn-lt"/>
              <a:cs typeface="Arial"/>
            </a:rPr>
            <a:t>(Nome / Matrícula / Data)</a:t>
          </a:r>
        </a:p>
      </xdr:txBody>
    </xdr:sp>
    <xdr:clientData/>
  </xdr:twoCellAnchor>
  <xdr:twoCellAnchor>
    <xdr:from>
      <xdr:col>4</xdr:col>
      <xdr:colOff>329830</xdr:colOff>
      <xdr:row>25</xdr:row>
      <xdr:rowOff>555165</xdr:rowOff>
    </xdr:from>
    <xdr:to>
      <xdr:col>9</xdr:col>
      <xdr:colOff>745755</xdr:colOff>
      <xdr:row>25</xdr:row>
      <xdr:rowOff>809165</xdr:rowOff>
    </xdr:to>
    <xdr:sp macro="" textlink="">
      <xdr:nvSpPr>
        <xdr:cNvPr id="10" name="Texto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5425532" y="7396540"/>
          <a:ext cx="6110143" cy="25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pt-BR" sz="1100" b="0" i="0">
              <a:latin typeface="+mn-lt"/>
              <a:ea typeface="+mn-ea"/>
              <a:cs typeface="+mn-cs"/>
            </a:rPr>
            <a:t>(Nome / Matrícula / Data)</a:t>
          </a:r>
          <a:endParaRPr lang="pt-BR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427267</xdr:colOff>
      <xdr:row>25</xdr:row>
      <xdr:rowOff>586007</xdr:rowOff>
    </xdr:from>
    <xdr:to>
      <xdr:col>2</xdr:col>
      <xdr:colOff>1676029</xdr:colOff>
      <xdr:row>25</xdr:row>
      <xdr:rowOff>587366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ShapeType="1"/>
        </xdr:cNvSpPr>
      </xdr:nvSpPr>
      <xdr:spPr bwMode="auto">
        <a:xfrm flipH="1">
          <a:off x="975907" y="7427382"/>
          <a:ext cx="3318631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316142</xdr:colOff>
      <xdr:row>25</xdr:row>
      <xdr:rowOff>579657</xdr:rowOff>
    </xdr:from>
    <xdr:to>
      <xdr:col>9</xdr:col>
      <xdr:colOff>748929</xdr:colOff>
      <xdr:row>25</xdr:row>
      <xdr:rowOff>581016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ShapeType="1"/>
        </xdr:cNvSpPr>
      </xdr:nvSpPr>
      <xdr:spPr bwMode="auto">
        <a:xfrm flipH="1">
          <a:off x="5411844" y="7421032"/>
          <a:ext cx="6127005" cy="13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4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5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mments" Target="../comments6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omments" Target="../comments7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0B06-2940-4C3C-A3C3-729985FA7087}">
  <dimension ref="A1:O39"/>
  <sheetViews>
    <sheetView showGridLines="0" topLeftCell="A10" zoomScale="70" zoomScaleNormal="70" zoomScaleSheetLayoutView="70" zoomScalePageLayoutView="50" workbookViewId="0">
      <selection activeCell="B46" sqref="B46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</cols>
  <sheetData>
    <row r="1" spans="1:15" ht="64.5" customHeight="1" thickBot="1" x14ac:dyDescent="0.25">
      <c r="A1" s="150" t="s">
        <v>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5" ht="20.149999999999999" customHeight="1" x14ac:dyDescent="0.2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</row>
    <row r="3" spans="1:15" ht="20.149999999999999" customHeight="1" x14ac:dyDescent="0.2">
      <c r="A3" s="156" t="s">
        <v>0</v>
      </c>
      <c r="B3" s="157"/>
      <c r="C3" s="158" t="s">
        <v>54</v>
      </c>
      <c r="D3" s="158"/>
      <c r="E3" s="158"/>
      <c r="F3" s="15" t="s">
        <v>1</v>
      </c>
      <c r="G3" s="159" t="s">
        <v>60</v>
      </c>
      <c r="H3" s="160"/>
      <c r="I3" s="160"/>
      <c r="J3" s="160"/>
      <c r="K3" s="160"/>
      <c r="L3" s="161"/>
      <c r="M3" s="21" t="s">
        <v>19</v>
      </c>
      <c r="N3" s="162"/>
      <c r="O3" s="147"/>
    </row>
    <row r="4" spans="1:15" ht="20.149999999999999" customHeight="1" x14ac:dyDescent="0.2">
      <c r="A4" s="142" t="s">
        <v>23</v>
      </c>
      <c r="B4" s="143"/>
      <c r="C4" s="144" t="s">
        <v>72</v>
      </c>
      <c r="D4" s="144"/>
      <c r="E4" s="144"/>
      <c r="F4" s="15"/>
      <c r="G4" s="145"/>
      <c r="H4" s="145"/>
      <c r="I4" s="145"/>
      <c r="J4" s="145"/>
      <c r="K4" s="145"/>
      <c r="L4" s="145"/>
      <c r="M4" s="21" t="s">
        <v>18</v>
      </c>
      <c r="N4" s="146">
        <v>0</v>
      </c>
      <c r="O4" s="147"/>
    </row>
    <row r="5" spans="1:15" ht="20.149999999999999" customHeight="1" x14ac:dyDescent="0.2">
      <c r="A5" s="142" t="s">
        <v>55</v>
      </c>
      <c r="B5" s="143"/>
      <c r="C5" s="144"/>
      <c r="D5" s="144"/>
      <c r="E5" s="144"/>
      <c r="F5" s="16" t="s">
        <v>12</v>
      </c>
      <c r="G5" s="148" t="s">
        <v>57</v>
      </c>
      <c r="H5" s="148"/>
      <c r="I5" s="148"/>
      <c r="J5" s="148"/>
      <c r="K5" s="148"/>
      <c r="L5" s="148"/>
      <c r="M5" s="21" t="s">
        <v>2</v>
      </c>
      <c r="N5" s="149">
        <v>46055</v>
      </c>
      <c r="O5" s="147"/>
    </row>
    <row r="6" spans="1:15" ht="20.149999999999999" customHeight="1" thickBot="1" x14ac:dyDescent="0.25">
      <c r="A6" s="113" t="s">
        <v>56</v>
      </c>
      <c r="B6" s="114"/>
      <c r="C6" s="115">
        <v>2500000</v>
      </c>
      <c r="D6" s="116"/>
      <c r="E6" s="116"/>
      <c r="F6" s="17" t="s">
        <v>24</v>
      </c>
      <c r="G6" s="117" t="s">
        <v>62</v>
      </c>
      <c r="H6" s="118"/>
      <c r="I6" s="118"/>
      <c r="J6" s="118"/>
      <c r="K6" s="118"/>
      <c r="L6" s="119"/>
      <c r="M6" s="22" t="s">
        <v>13</v>
      </c>
      <c r="N6" s="120" t="s">
        <v>61</v>
      </c>
      <c r="O6" s="121"/>
    </row>
    <row r="7" spans="1:15" s="1" customFormat="1" ht="24.05" customHeight="1" x14ac:dyDescent="0.25">
      <c r="A7" s="122" t="s">
        <v>5</v>
      </c>
      <c r="B7" s="124" t="s">
        <v>6</v>
      </c>
      <c r="C7" s="125"/>
      <c r="D7" s="128" t="s">
        <v>7</v>
      </c>
      <c r="E7" s="130" t="s">
        <v>8</v>
      </c>
      <c r="F7" s="128" t="s">
        <v>20</v>
      </c>
      <c r="G7" s="132" t="s">
        <v>21</v>
      </c>
      <c r="H7" s="134" t="s">
        <v>14</v>
      </c>
      <c r="I7" s="135"/>
      <c r="J7" s="136" t="s">
        <v>15</v>
      </c>
      <c r="K7" s="136"/>
      <c r="L7" s="137" t="s">
        <v>17</v>
      </c>
      <c r="M7" s="138"/>
      <c r="N7" s="139" t="s">
        <v>4</v>
      </c>
      <c r="O7" s="138"/>
    </row>
    <row r="8" spans="1:15" s="1" customFormat="1" ht="15.05" customHeight="1" thickBot="1" x14ac:dyDescent="0.3">
      <c r="A8" s="123"/>
      <c r="B8" s="126"/>
      <c r="C8" s="127"/>
      <c r="D8" s="129"/>
      <c r="E8" s="131"/>
      <c r="F8" s="129"/>
      <c r="G8" s="133"/>
      <c r="H8" s="71" t="s">
        <v>7</v>
      </c>
      <c r="I8" s="39" t="s">
        <v>9</v>
      </c>
      <c r="J8" s="40" t="s">
        <v>7</v>
      </c>
      <c r="K8" s="41" t="s">
        <v>3</v>
      </c>
      <c r="L8" s="71" t="s">
        <v>7</v>
      </c>
      <c r="M8" s="39" t="s">
        <v>3</v>
      </c>
      <c r="N8" s="42" t="s">
        <v>7</v>
      </c>
      <c r="O8" s="43" t="s">
        <v>9</v>
      </c>
    </row>
    <row r="9" spans="1:15" s="3" customFormat="1" ht="20" customHeight="1" x14ac:dyDescent="0.2">
      <c r="A9" s="61">
        <v>0</v>
      </c>
      <c r="B9" s="140" t="s">
        <v>58</v>
      </c>
      <c r="C9" s="141"/>
      <c r="D9" s="62">
        <v>1</v>
      </c>
      <c r="E9" s="63" t="s">
        <v>52</v>
      </c>
      <c r="F9" s="64">
        <f>C6*0.15</f>
        <v>375000</v>
      </c>
      <c r="G9" s="64">
        <f t="shared" ref="G9:G20" si="0">F9*D9</f>
        <v>375000</v>
      </c>
      <c r="H9" s="65">
        <v>1</v>
      </c>
      <c r="I9" s="66">
        <f t="shared" ref="I9:I20" si="1">H9*G9</f>
        <v>375000</v>
      </c>
      <c r="J9" s="67"/>
      <c r="K9" s="68">
        <f>J9*F9*D9</f>
        <v>0</v>
      </c>
      <c r="L9" s="65">
        <f t="shared" ref="L9:M20" si="2">J9+H9</f>
        <v>1</v>
      </c>
      <c r="M9" s="66">
        <f t="shared" si="2"/>
        <v>375000</v>
      </c>
      <c r="N9" s="67">
        <f t="shared" ref="N9:N17" si="3">D9/D9-L9</f>
        <v>0</v>
      </c>
      <c r="O9" s="69">
        <f t="shared" ref="O9:O17" si="4">N9*G9</f>
        <v>0</v>
      </c>
    </row>
    <row r="10" spans="1:15" s="3" customFormat="1" ht="20" customHeight="1" x14ac:dyDescent="0.2">
      <c r="A10" s="60">
        <v>1</v>
      </c>
      <c r="B10" s="103" t="s">
        <v>53</v>
      </c>
      <c r="C10" s="104"/>
      <c r="D10" s="23">
        <v>1</v>
      </c>
      <c r="E10" s="24" t="s">
        <v>52</v>
      </c>
      <c r="F10" s="20">
        <v>123250</v>
      </c>
      <c r="G10" s="20">
        <f t="shared" si="0"/>
        <v>123250</v>
      </c>
      <c r="H10" s="33"/>
      <c r="I10" s="18">
        <f t="shared" si="1"/>
        <v>0</v>
      </c>
      <c r="J10" s="34">
        <v>0.34</v>
      </c>
      <c r="K10" s="19">
        <f>J10*F10*D10</f>
        <v>41905</v>
      </c>
      <c r="L10" s="33">
        <f t="shared" si="2"/>
        <v>0.34</v>
      </c>
      <c r="M10" s="18">
        <f t="shared" si="2"/>
        <v>41905</v>
      </c>
      <c r="N10" s="34">
        <f t="shared" si="3"/>
        <v>0.65999999999999992</v>
      </c>
      <c r="O10" s="50">
        <f t="shared" si="4"/>
        <v>81344.999999999985</v>
      </c>
    </row>
    <row r="11" spans="1:15" s="3" customFormat="1" ht="20" customHeight="1" x14ac:dyDescent="0.2">
      <c r="A11" s="60">
        <v>2</v>
      </c>
      <c r="B11" s="103" t="s">
        <v>70</v>
      </c>
      <c r="C11" s="104"/>
      <c r="D11" s="23">
        <v>1</v>
      </c>
      <c r="E11" s="24" t="s">
        <v>52</v>
      </c>
      <c r="F11" s="20">
        <v>335724.5</v>
      </c>
      <c r="G11" s="20">
        <f t="shared" si="0"/>
        <v>335724.5</v>
      </c>
      <c r="H11" s="33"/>
      <c r="I11" s="18">
        <f t="shared" si="1"/>
        <v>0</v>
      </c>
      <c r="J11" s="34">
        <v>0.41</v>
      </c>
      <c r="K11" s="19">
        <f>J11*F11*D11</f>
        <v>137647.04499999998</v>
      </c>
      <c r="L11" s="33">
        <f t="shared" si="2"/>
        <v>0.41</v>
      </c>
      <c r="M11" s="18">
        <f>K11+I11</f>
        <v>137647.04499999998</v>
      </c>
      <c r="N11" s="34">
        <f>D11/D11-L11</f>
        <v>0.59000000000000008</v>
      </c>
      <c r="O11" s="50">
        <f>N11*G11</f>
        <v>198077.45500000002</v>
      </c>
    </row>
    <row r="12" spans="1:15" s="3" customFormat="1" ht="20" customHeight="1" x14ac:dyDescent="0.2">
      <c r="A12" s="60">
        <v>3</v>
      </c>
      <c r="B12" s="103" t="s">
        <v>71</v>
      </c>
      <c r="C12" s="104"/>
      <c r="D12" s="23">
        <v>1</v>
      </c>
      <c r="E12" s="24" t="s">
        <v>52</v>
      </c>
      <c r="F12" s="20">
        <v>335724.5</v>
      </c>
      <c r="G12" s="20">
        <f t="shared" si="0"/>
        <v>335724.5</v>
      </c>
      <c r="H12" s="33"/>
      <c r="I12" s="18">
        <f t="shared" si="1"/>
        <v>0</v>
      </c>
      <c r="J12" s="34"/>
      <c r="K12" s="19">
        <f>J12*F12*D12</f>
        <v>0</v>
      </c>
      <c r="L12" s="33">
        <f t="shared" si="2"/>
        <v>0</v>
      </c>
      <c r="M12" s="18">
        <f>K12+I12</f>
        <v>0</v>
      </c>
      <c r="N12" s="34">
        <f>D12/D12-L12</f>
        <v>1</v>
      </c>
      <c r="O12" s="50">
        <f>N12*G12</f>
        <v>335724.5</v>
      </c>
    </row>
    <row r="13" spans="1:15" s="3" customFormat="1" ht="20" customHeight="1" x14ac:dyDescent="0.2">
      <c r="A13" s="60">
        <v>4</v>
      </c>
      <c r="B13" s="103" t="s">
        <v>64</v>
      </c>
      <c r="C13" s="104"/>
      <c r="D13" s="23">
        <v>1</v>
      </c>
      <c r="E13" s="24" t="s">
        <v>52</v>
      </c>
      <c r="F13" s="20">
        <v>283379.8</v>
      </c>
      <c r="G13" s="20">
        <f t="shared" si="0"/>
        <v>283379.8</v>
      </c>
      <c r="H13" s="33"/>
      <c r="I13" s="18">
        <f t="shared" si="1"/>
        <v>0</v>
      </c>
      <c r="J13" s="34"/>
      <c r="K13" s="19">
        <f t="shared" ref="K13:K17" si="5">J13*F13*D13</f>
        <v>0</v>
      </c>
      <c r="L13" s="33">
        <f t="shared" si="2"/>
        <v>0</v>
      </c>
      <c r="M13" s="18">
        <f t="shared" si="2"/>
        <v>0</v>
      </c>
      <c r="N13" s="34">
        <f t="shared" si="3"/>
        <v>1</v>
      </c>
      <c r="O13" s="50">
        <f t="shared" si="4"/>
        <v>283379.8</v>
      </c>
    </row>
    <row r="14" spans="1:15" s="3" customFormat="1" ht="20" customHeight="1" x14ac:dyDescent="0.2">
      <c r="A14" s="60">
        <v>5</v>
      </c>
      <c r="B14" s="103" t="s">
        <v>65</v>
      </c>
      <c r="C14" s="104"/>
      <c r="D14" s="23">
        <v>1</v>
      </c>
      <c r="E14" s="24" t="s">
        <v>52</v>
      </c>
      <c r="F14" s="20">
        <v>163136.25</v>
      </c>
      <c r="G14" s="20">
        <f t="shared" si="0"/>
        <v>163136.25</v>
      </c>
      <c r="H14" s="33"/>
      <c r="I14" s="18">
        <f t="shared" si="1"/>
        <v>0</v>
      </c>
      <c r="J14" s="34"/>
      <c r="K14" s="19">
        <f t="shared" si="5"/>
        <v>0</v>
      </c>
      <c r="L14" s="33">
        <f t="shared" si="2"/>
        <v>0</v>
      </c>
      <c r="M14" s="18">
        <f t="shared" si="2"/>
        <v>0</v>
      </c>
      <c r="N14" s="34">
        <f t="shared" si="3"/>
        <v>1</v>
      </c>
      <c r="O14" s="50">
        <f t="shared" si="4"/>
        <v>163136.25</v>
      </c>
    </row>
    <row r="15" spans="1:15" s="3" customFormat="1" ht="20" customHeight="1" x14ac:dyDescent="0.2">
      <c r="A15" s="60">
        <v>6</v>
      </c>
      <c r="B15" s="103" t="s">
        <v>66</v>
      </c>
      <c r="C15" s="104"/>
      <c r="D15" s="23">
        <v>1</v>
      </c>
      <c r="E15" s="24" t="s">
        <v>52</v>
      </c>
      <c r="F15" s="20">
        <v>354881.8</v>
      </c>
      <c r="G15" s="20">
        <f t="shared" si="0"/>
        <v>354881.8</v>
      </c>
      <c r="H15" s="33"/>
      <c r="I15" s="18">
        <f t="shared" si="1"/>
        <v>0</v>
      </c>
      <c r="J15" s="34"/>
      <c r="K15" s="19">
        <f t="shared" si="5"/>
        <v>0</v>
      </c>
      <c r="L15" s="33">
        <f t="shared" si="2"/>
        <v>0</v>
      </c>
      <c r="M15" s="18">
        <f t="shared" si="2"/>
        <v>0</v>
      </c>
      <c r="N15" s="34">
        <f t="shared" si="3"/>
        <v>1</v>
      </c>
      <c r="O15" s="50">
        <f t="shared" si="4"/>
        <v>354881.8</v>
      </c>
    </row>
    <row r="16" spans="1:15" s="3" customFormat="1" ht="20" customHeight="1" x14ac:dyDescent="0.2">
      <c r="A16" s="60">
        <v>7</v>
      </c>
      <c r="B16" s="103" t="s">
        <v>67</v>
      </c>
      <c r="C16" s="104"/>
      <c r="D16" s="23">
        <v>1</v>
      </c>
      <c r="E16" s="24" t="s">
        <v>52</v>
      </c>
      <c r="F16" s="20">
        <v>80580</v>
      </c>
      <c r="G16" s="20">
        <f t="shared" si="0"/>
        <v>80580</v>
      </c>
      <c r="H16" s="33"/>
      <c r="I16" s="18">
        <f t="shared" si="1"/>
        <v>0</v>
      </c>
      <c r="J16" s="34"/>
      <c r="K16" s="19">
        <f t="shared" si="5"/>
        <v>0</v>
      </c>
      <c r="L16" s="33">
        <f t="shared" si="2"/>
        <v>0</v>
      </c>
      <c r="M16" s="18">
        <f t="shared" si="2"/>
        <v>0</v>
      </c>
      <c r="N16" s="34">
        <f t="shared" si="3"/>
        <v>1</v>
      </c>
      <c r="O16" s="50">
        <f t="shared" si="4"/>
        <v>80580</v>
      </c>
    </row>
    <row r="17" spans="1:15" s="3" customFormat="1" ht="20" customHeight="1" x14ac:dyDescent="0.2">
      <c r="A17" s="60">
        <v>8</v>
      </c>
      <c r="B17" s="103" t="s">
        <v>68</v>
      </c>
      <c r="C17" s="104"/>
      <c r="D17" s="23">
        <v>1</v>
      </c>
      <c r="E17" s="24" t="s">
        <v>52</v>
      </c>
      <c r="F17" s="20">
        <v>143573.5</v>
      </c>
      <c r="G17" s="20">
        <f t="shared" si="0"/>
        <v>143573.5</v>
      </c>
      <c r="H17" s="33"/>
      <c r="I17" s="18">
        <f t="shared" si="1"/>
        <v>0</v>
      </c>
      <c r="J17" s="34"/>
      <c r="K17" s="19">
        <f t="shared" si="5"/>
        <v>0</v>
      </c>
      <c r="L17" s="33">
        <f t="shared" si="2"/>
        <v>0</v>
      </c>
      <c r="M17" s="18">
        <f t="shared" si="2"/>
        <v>0</v>
      </c>
      <c r="N17" s="34">
        <f t="shared" si="3"/>
        <v>1</v>
      </c>
      <c r="O17" s="50">
        <f t="shared" si="4"/>
        <v>143573.5</v>
      </c>
    </row>
    <row r="18" spans="1:15" s="3" customFormat="1" ht="20" customHeight="1" x14ac:dyDescent="0.2">
      <c r="A18" s="60">
        <v>9</v>
      </c>
      <c r="B18" s="103" t="s">
        <v>74</v>
      </c>
      <c r="C18" s="104"/>
      <c r="D18" s="23">
        <v>1</v>
      </c>
      <c r="E18" s="24" t="s">
        <v>52</v>
      </c>
      <c r="F18" s="20">
        <v>112514.5</v>
      </c>
      <c r="G18" s="20">
        <f t="shared" ref="G18" si="6">F18*D18</f>
        <v>112514.5</v>
      </c>
      <c r="H18" s="33"/>
      <c r="I18" s="18">
        <f t="shared" ref="I18" si="7">H18*G18</f>
        <v>0</v>
      </c>
      <c r="J18" s="34"/>
      <c r="K18" s="19">
        <f t="shared" ref="K18" si="8">J18*F18*D18</f>
        <v>0</v>
      </c>
      <c r="L18" s="33">
        <f t="shared" ref="L18" si="9">J18+H18</f>
        <v>0</v>
      </c>
      <c r="M18" s="18">
        <f t="shared" ref="M18" si="10">K18+I18</f>
        <v>0</v>
      </c>
      <c r="N18" s="34">
        <f t="shared" ref="N18" si="11">D18/D18-L18</f>
        <v>1</v>
      </c>
      <c r="O18" s="50">
        <f t="shared" ref="O18" si="12">N18*G18</f>
        <v>112514.5</v>
      </c>
    </row>
    <row r="19" spans="1:15" s="3" customFormat="1" ht="20" customHeight="1" x14ac:dyDescent="0.2">
      <c r="A19" s="60">
        <v>10</v>
      </c>
      <c r="B19" s="103" t="s">
        <v>69</v>
      </c>
      <c r="C19" s="104"/>
      <c r="D19" s="23">
        <v>1</v>
      </c>
      <c r="E19" s="24" t="s">
        <v>52</v>
      </c>
      <c r="F19" s="20">
        <v>170051</v>
      </c>
      <c r="G19" s="20">
        <f t="shared" si="0"/>
        <v>170051</v>
      </c>
      <c r="H19" s="33"/>
      <c r="I19" s="18">
        <f t="shared" si="1"/>
        <v>0</v>
      </c>
      <c r="J19" s="34"/>
      <c r="K19" s="19">
        <f>J19*F19*D19</f>
        <v>0</v>
      </c>
      <c r="L19" s="33">
        <f t="shared" si="2"/>
        <v>0</v>
      </c>
      <c r="M19" s="18">
        <f>K19+I19</f>
        <v>0</v>
      </c>
      <c r="N19" s="34">
        <f>D19/D19-L19</f>
        <v>1</v>
      </c>
      <c r="O19" s="50">
        <f>N19*G19</f>
        <v>170051</v>
      </c>
    </row>
    <row r="20" spans="1:15" s="3" customFormat="1" ht="20" customHeight="1" thickBot="1" x14ac:dyDescent="0.25">
      <c r="A20" s="70">
        <v>11</v>
      </c>
      <c r="B20" s="105" t="s">
        <v>73</v>
      </c>
      <c r="C20" s="106"/>
      <c r="D20" s="51">
        <v>1</v>
      </c>
      <c r="E20" s="52" t="s">
        <v>52</v>
      </c>
      <c r="F20" s="53">
        <v>22184.149999999998</v>
      </c>
      <c r="G20" s="53">
        <f t="shared" si="0"/>
        <v>22184.149999999998</v>
      </c>
      <c r="H20" s="54"/>
      <c r="I20" s="55">
        <f t="shared" si="1"/>
        <v>0</v>
      </c>
      <c r="J20" s="56"/>
      <c r="K20" s="57">
        <f>J20*F20*D20</f>
        <v>0</v>
      </c>
      <c r="L20" s="54">
        <f t="shared" si="2"/>
        <v>0</v>
      </c>
      <c r="M20" s="55">
        <f t="shared" si="2"/>
        <v>0</v>
      </c>
      <c r="N20" s="56">
        <f t="shared" ref="N20" si="13">D20/D20-L20</f>
        <v>1</v>
      </c>
      <c r="O20" s="58">
        <f t="shared" ref="O20" si="14">N20*G20</f>
        <v>22184.149999999998</v>
      </c>
    </row>
    <row r="21" spans="1:15" s="2" customFormat="1" ht="20.149999999999999" customHeight="1" thickBot="1" x14ac:dyDescent="0.3">
      <c r="A21" s="107" t="s">
        <v>16</v>
      </c>
      <c r="B21" s="108"/>
      <c r="C21" s="108"/>
      <c r="D21" s="108"/>
      <c r="E21" s="108"/>
      <c r="F21" s="109"/>
      <c r="G21" s="44">
        <f>SUBTOTAL(9,G9:G20)</f>
        <v>2500000</v>
      </c>
      <c r="H21" s="45">
        <f>I21/C6</f>
        <v>0.15</v>
      </c>
      <c r="I21" s="44">
        <f>SUBTOTAL(9,I9:I20)</f>
        <v>375000</v>
      </c>
      <c r="J21" s="46">
        <f>K21/C6</f>
        <v>7.1820817999999995E-2</v>
      </c>
      <c r="K21" s="47">
        <f>SUBTOTAL(9,K9:K20)</f>
        <v>179552.04499999998</v>
      </c>
      <c r="L21" s="45">
        <f>M21/C6</f>
        <v>0.22182081799999998</v>
      </c>
      <c r="M21" s="48">
        <f>SUBTOTAL(9,M9:M20)</f>
        <v>554552.04499999993</v>
      </c>
      <c r="N21" s="46">
        <f>O21/C6</f>
        <v>0.77817918200000002</v>
      </c>
      <c r="O21" s="49">
        <f>SUBTOTAL(9,O9:O20)</f>
        <v>1945447.9550000001</v>
      </c>
    </row>
    <row r="22" spans="1:15" ht="20.3" customHeight="1" thickBot="1" x14ac:dyDescent="0.3">
      <c r="A22" s="110" t="s">
        <v>10</v>
      </c>
      <c r="B22" s="111"/>
      <c r="C22" s="111"/>
      <c r="D22" s="111"/>
      <c r="E22" s="111"/>
      <c r="F22" s="111"/>
      <c r="G22" s="111"/>
      <c r="H22" s="111"/>
      <c r="I22" s="112"/>
      <c r="J22" s="100"/>
      <c r="K22" s="101"/>
      <c r="L22" s="101"/>
      <c r="M22" s="102"/>
      <c r="N22" s="5"/>
      <c r="O22" s="6"/>
    </row>
    <row r="23" spans="1:15" ht="20.95" customHeight="1" thickBot="1" x14ac:dyDescent="0.25">
      <c r="A23" s="37"/>
      <c r="B23" s="38"/>
      <c r="C23" s="38"/>
      <c r="D23" s="38"/>
      <c r="E23" s="38"/>
      <c r="F23" s="38"/>
      <c r="G23" s="90" t="s">
        <v>22</v>
      </c>
      <c r="H23" s="90"/>
      <c r="I23" s="91"/>
      <c r="J23" s="92">
        <f>K21</f>
        <v>179552.04499999998</v>
      </c>
      <c r="K23" s="93"/>
      <c r="L23" s="93"/>
      <c r="M23" s="94"/>
      <c r="N23" s="13"/>
      <c r="O23" s="14"/>
    </row>
    <row r="24" spans="1:15" ht="29.3" customHeight="1" x14ac:dyDescent="0.2">
      <c r="A24" s="7"/>
      <c r="B24" s="95" t="s">
        <v>54</v>
      </c>
      <c r="C24" s="9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</row>
    <row r="25" spans="1:15" x14ac:dyDescent="0.2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</row>
    <row r="26" spans="1:15" ht="73" customHeight="1" thickBo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5" ht="8.1999999999999993" customHeight="1" thickBot="1" x14ac:dyDescent="0.25"/>
    <row r="28" spans="1:15" ht="17.7" x14ac:dyDescent="0.2">
      <c r="A28" s="96" t="s">
        <v>51</v>
      </c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9"/>
    </row>
    <row r="29" spans="1:15" ht="15.05" x14ac:dyDescent="0.2">
      <c r="A29" s="84" t="s">
        <v>25</v>
      </c>
      <c r="B29" s="85"/>
      <c r="C29" s="72">
        <f>G21</f>
        <v>2500000</v>
      </c>
      <c r="D29" s="86" t="s">
        <v>63</v>
      </c>
      <c r="E29" s="87"/>
      <c r="F29" s="30">
        <v>375000</v>
      </c>
      <c r="G29" s="29"/>
      <c r="H29" s="88"/>
      <c r="I29" s="89"/>
      <c r="J29" s="29" t="s">
        <v>47</v>
      </c>
      <c r="K29" s="30">
        <v>0</v>
      </c>
      <c r="L29" s="29" t="s">
        <v>48</v>
      </c>
      <c r="M29" s="30">
        <v>0</v>
      </c>
      <c r="N29" s="29" t="s">
        <v>49</v>
      </c>
      <c r="O29" s="32">
        <v>0</v>
      </c>
    </row>
    <row r="30" spans="1:15" ht="15.05" x14ac:dyDescent="0.2">
      <c r="A30" s="84" t="s">
        <v>50</v>
      </c>
      <c r="B30" s="85"/>
      <c r="C30" s="72">
        <f>M21</f>
        <v>554552.04499999993</v>
      </c>
      <c r="D30" s="86" t="s">
        <v>26</v>
      </c>
      <c r="E30" s="87"/>
      <c r="F30" s="30">
        <f>K21</f>
        <v>179552.04499999998</v>
      </c>
      <c r="G30" s="29" t="s">
        <v>27</v>
      </c>
      <c r="H30" s="88">
        <v>0</v>
      </c>
      <c r="I30" s="89"/>
      <c r="J30" s="29" t="s">
        <v>28</v>
      </c>
      <c r="K30" s="30">
        <v>0</v>
      </c>
      <c r="L30" s="29" t="s">
        <v>29</v>
      </c>
      <c r="M30" s="30">
        <v>0</v>
      </c>
      <c r="N30" s="29" t="s">
        <v>30</v>
      </c>
      <c r="O30" s="32">
        <v>0</v>
      </c>
    </row>
    <row r="31" spans="1:15" ht="15.05" x14ac:dyDescent="0.2">
      <c r="A31" s="84" t="s">
        <v>36</v>
      </c>
      <c r="B31" s="85"/>
      <c r="C31" s="72">
        <f>O21</f>
        <v>1945447.9550000001</v>
      </c>
      <c r="D31" s="86" t="s">
        <v>31</v>
      </c>
      <c r="E31" s="87"/>
      <c r="F31" s="30">
        <v>0</v>
      </c>
      <c r="G31" s="29" t="s">
        <v>32</v>
      </c>
      <c r="H31" s="88">
        <v>0</v>
      </c>
      <c r="I31" s="89"/>
      <c r="J31" s="29" t="s">
        <v>33</v>
      </c>
      <c r="K31" s="30">
        <v>0</v>
      </c>
      <c r="L31" s="29" t="s">
        <v>34</v>
      </c>
      <c r="M31" s="30">
        <v>0</v>
      </c>
      <c r="N31" s="29" t="s">
        <v>35</v>
      </c>
      <c r="O31" s="32">
        <v>0</v>
      </c>
    </row>
    <row r="32" spans="1:15" ht="15.05" x14ac:dyDescent="0.2">
      <c r="A32" s="84"/>
      <c r="B32" s="85"/>
      <c r="C32" s="31"/>
      <c r="D32" s="86" t="s">
        <v>37</v>
      </c>
      <c r="E32" s="87"/>
      <c r="F32" s="30">
        <v>0</v>
      </c>
      <c r="G32" s="29" t="s">
        <v>38</v>
      </c>
      <c r="H32" s="88">
        <v>0</v>
      </c>
      <c r="I32" s="89"/>
      <c r="J32" s="29" t="s">
        <v>39</v>
      </c>
      <c r="K32" s="30">
        <v>0</v>
      </c>
      <c r="L32" s="29" t="s">
        <v>40</v>
      </c>
      <c r="M32" s="30">
        <v>0</v>
      </c>
      <c r="N32" s="29" t="s">
        <v>41</v>
      </c>
      <c r="O32" s="32">
        <v>0</v>
      </c>
    </row>
    <row r="33" spans="1:15" ht="15.05" x14ac:dyDescent="0.2">
      <c r="A33" s="84"/>
      <c r="B33" s="85"/>
      <c r="C33" s="31"/>
      <c r="D33" s="86" t="s">
        <v>42</v>
      </c>
      <c r="E33" s="87"/>
      <c r="F33" s="30">
        <v>0</v>
      </c>
      <c r="G33" s="29" t="s">
        <v>43</v>
      </c>
      <c r="H33" s="88">
        <v>0</v>
      </c>
      <c r="I33" s="89"/>
      <c r="J33" s="29" t="s">
        <v>44</v>
      </c>
      <c r="K33" s="30">
        <v>0</v>
      </c>
      <c r="L33" s="29" t="s">
        <v>45</v>
      </c>
      <c r="M33" s="30">
        <v>0</v>
      </c>
      <c r="N33" s="29" t="s">
        <v>46</v>
      </c>
      <c r="O33" s="32">
        <v>0</v>
      </c>
    </row>
    <row r="34" spans="1:15" ht="18.350000000000001" thickBot="1" x14ac:dyDescent="0.25">
      <c r="A34" s="25"/>
      <c r="B34" s="26"/>
      <c r="C34" s="26"/>
      <c r="D34" s="26"/>
      <c r="E34" s="26"/>
      <c r="F34" s="36"/>
      <c r="G34" s="36"/>
      <c r="H34" s="27"/>
      <c r="I34" s="35"/>
      <c r="J34" s="26"/>
      <c r="K34" s="26"/>
      <c r="L34" s="26"/>
      <c r="M34" s="26"/>
      <c r="N34" s="26"/>
      <c r="O34" s="28"/>
    </row>
    <row r="37" spans="1:15" x14ac:dyDescent="0.2">
      <c r="F37" s="59">
        <f>F30*0.7</f>
        <v>125686.43149999998</v>
      </c>
    </row>
    <row r="38" spans="1:15" x14ac:dyDescent="0.2">
      <c r="F38" s="59">
        <f>F30-F37</f>
        <v>53865.613500000007</v>
      </c>
    </row>
    <row r="39" spans="1:15" x14ac:dyDescent="0.2">
      <c r="F39" s="59">
        <f>F38*0.11</f>
        <v>5925.217485000001</v>
      </c>
    </row>
  </sheetData>
  <mergeCells count="62"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B10:C10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H7:I7"/>
    <mergeCell ref="J7:K7"/>
    <mergeCell ref="L7:M7"/>
    <mergeCell ref="N7:O7"/>
    <mergeCell ref="B9:C9"/>
    <mergeCell ref="J22:M22"/>
    <mergeCell ref="B18:C18"/>
    <mergeCell ref="B11:C11"/>
    <mergeCell ref="B12:C12"/>
    <mergeCell ref="B13:C13"/>
    <mergeCell ref="B14:C14"/>
    <mergeCell ref="B15:C15"/>
    <mergeCell ref="B16:C16"/>
    <mergeCell ref="B17:C17"/>
    <mergeCell ref="B19:C19"/>
    <mergeCell ref="B20:C20"/>
    <mergeCell ref="A21:F21"/>
    <mergeCell ref="A22:I22"/>
    <mergeCell ref="G23:I23"/>
    <mergeCell ref="J23:M23"/>
    <mergeCell ref="B24:C24"/>
    <mergeCell ref="A28:O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25D2-AB24-4EA9-B4CB-98877619E9D9}">
  <dimension ref="A1:O39"/>
  <sheetViews>
    <sheetView showGridLines="0" zoomScale="70" zoomScaleNormal="70" zoomScaleSheetLayoutView="70" zoomScalePageLayoutView="50" workbookViewId="0">
      <selection activeCell="I17" sqref="I17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</cols>
  <sheetData>
    <row r="1" spans="1:15" ht="64.5" customHeight="1" thickBot="1" x14ac:dyDescent="0.25">
      <c r="A1" s="150" t="s">
        <v>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5" ht="20.149999999999999" customHeight="1" x14ac:dyDescent="0.2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</row>
    <row r="3" spans="1:15" ht="20.149999999999999" customHeight="1" x14ac:dyDescent="0.2">
      <c r="A3" s="156" t="s">
        <v>0</v>
      </c>
      <c r="B3" s="157"/>
      <c r="C3" s="158" t="s">
        <v>54</v>
      </c>
      <c r="D3" s="158"/>
      <c r="E3" s="158"/>
      <c r="F3" s="15" t="s">
        <v>1</v>
      </c>
      <c r="G3" s="159" t="s">
        <v>60</v>
      </c>
      <c r="H3" s="160"/>
      <c r="I3" s="160"/>
      <c r="J3" s="160"/>
      <c r="K3" s="160"/>
      <c r="L3" s="161"/>
      <c r="M3" s="21" t="s">
        <v>19</v>
      </c>
      <c r="N3" s="162"/>
      <c r="O3" s="147"/>
    </row>
    <row r="4" spans="1:15" ht="20.149999999999999" customHeight="1" x14ac:dyDescent="0.2">
      <c r="A4" s="142" t="s">
        <v>23</v>
      </c>
      <c r="B4" s="143"/>
      <c r="C4" s="144" t="s">
        <v>72</v>
      </c>
      <c r="D4" s="144"/>
      <c r="E4" s="144"/>
      <c r="F4" s="15"/>
      <c r="G4" s="145"/>
      <c r="H4" s="145"/>
      <c r="I4" s="145"/>
      <c r="J4" s="145"/>
      <c r="K4" s="145"/>
      <c r="L4" s="145"/>
      <c r="M4" s="21" t="s">
        <v>18</v>
      </c>
      <c r="N4" s="146">
        <v>0</v>
      </c>
      <c r="O4" s="147"/>
    </row>
    <row r="5" spans="1:15" ht="20.149999999999999" customHeight="1" x14ac:dyDescent="0.2">
      <c r="A5" s="142" t="s">
        <v>55</v>
      </c>
      <c r="B5" s="143"/>
      <c r="C5" s="144"/>
      <c r="D5" s="144"/>
      <c r="E5" s="144"/>
      <c r="F5" s="16" t="s">
        <v>12</v>
      </c>
      <c r="G5" s="148" t="s">
        <v>75</v>
      </c>
      <c r="H5" s="148"/>
      <c r="I5" s="148"/>
      <c r="J5" s="148"/>
      <c r="K5" s="148"/>
      <c r="L5" s="148"/>
      <c r="M5" s="21" t="s">
        <v>2</v>
      </c>
      <c r="N5" s="149">
        <v>46068</v>
      </c>
      <c r="O5" s="147"/>
    </row>
    <row r="6" spans="1:15" ht="20.149999999999999" customHeight="1" thickBot="1" x14ac:dyDescent="0.25">
      <c r="A6" s="113" t="s">
        <v>56</v>
      </c>
      <c r="B6" s="114"/>
      <c r="C6" s="115">
        <v>2500000</v>
      </c>
      <c r="D6" s="116"/>
      <c r="E6" s="116"/>
      <c r="F6" s="17" t="s">
        <v>24</v>
      </c>
      <c r="G6" s="117" t="s">
        <v>76</v>
      </c>
      <c r="H6" s="118"/>
      <c r="I6" s="118"/>
      <c r="J6" s="118"/>
      <c r="K6" s="118"/>
      <c r="L6" s="119"/>
      <c r="M6" s="22" t="s">
        <v>13</v>
      </c>
      <c r="N6" s="120" t="s">
        <v>61</v>
      </c>
      <c r="O6" s="121"/>
    </row>
    <row r="7" spans="1:15" s="1" customFormat="1" ht="24.05" customHeight="1" x14ac:dyDescent="0.25">
      <c r="A7" s="122" t="s">
        <v>5</v>
      </c>
      <c r="B7" s="124" t="s">
        <v>6</v>
      </c>
      <c r="C7" s="125"/>
      <c r="D7" s="128" t="s">
        <v>7</v>
      </c>
      <c r="E7" s="130" t="s">
        <v>8</v>
      </c>
      <c r="F7" s="128" t="s">
        <v>20</v>
      </c>
      <c r="G7" s="132" t="s">
        <v>21</v>
      </c>
      <c r="H7" s="134" t="s">
        <v>14</v>
      </c>
      <c r="I7" s="135"/>
      <c r="J7" s="136" t="s">
        <v>15</v>
      </c>
      <c r="K7" s="136"/>
      <c r="L7" s="137" t="s">
        <v>17</v>
      </c>
      <c r="M7" s="138"/>
      <c r="N7" s="139" t="s">
        <v>4</v>
      </c>
      <c r="O7" s="138"/>
    </row>
    <row r="8" spans="1:15" s="1" customFormat="1" ht="15.05" customHeight="1" thickBot="1" x14ac:dyDescent="0.3">
      <c r="A8" s="123"/>
      <c r="B8" s="126"/>
      <c r="C8" s="127"/>
      <c r="D8" s="129"/>
      <c r="E8" s="131"/>
      <c r="F8" s="129"/>
      <c r="G8" s="133"/>
      <c r="H8" s="71" t="s">
        <v>7</v>
      </c>
      <c r="I8" s="39" t="s">
        <v>9</v>
      </c>
      <c r="J8" s="40" t="s">
        <v>7</v>
      </c>
      <c r="K8" s="41" t="s">
        <v>3</v>
      </c>
      <c r="L8" s="71" t="s">
        <v>7</v>
      </c>
      <c r="M8" s="39" t="s">
        <v>3</v>
      </c>
      <c r="N8" s="42" t="s">
        <v>7</v>
      </c>
      <c r="O8" s="43" t="s">
        <v>9</v>
      </c>
    </row>
    <row r="9" spans="1:15" s="3" customFormat="1" ht="20" customHeight="1" x14ac:dyDescent="0.2">
      <c r="A9" s="61">
        <v>0</v>
      </c>
      <c r="B9" s="140" t="s">
        <v>58</v>
      </c>
      <c r="C9" s="141"/>
      <c r="D9" s="62">
        <v>1</v>
      </c>
      <c r="E9" s="63" t="s">
        <v>52</v>
      </c>
      <c r="F9" s="64">
        <f>C6*0.15</f>
        <v>375000</v>
      </c>
      <c r="G9" s="64">
        <f t="shared" ref="G9:G20" si="0">F9*D9</f>
        <v>375000</v>
      </c>
      <c r="H9" s="65">
        <v>1</v>
      </c>
      <c r="I9" s="66">
        <f t="shared" ref="I9:I20" si="1">H9*G9</f>
        <v>375000</v>
      </c>
      <c r="J9" s="67"/>
      <c r="K9" s="68">
        <f>J9*F9*D9</f>
        <v>0</v>
      </c>
      <c r="L9" s="65">
        <f t="shared" ref="L9:M20" si="2">J9+H9</f>
        <v>1</v>
      </c>
      <c r="M9" s="66">
        <f t="shared" si="2"/>
        <v>375000</v>
      </c>
      <c r="N9" s="67">
        <f t="shared" ref="N9:N18" si="3">D9/D9-L9</f>
        <v>0</v>
      </c>
      <c r="O9" s="69">
        <f t="shared" ref="O9:O18" si="4">N9*G9</f>
        <v>0</v>
      </c>
    </row>
    <row r="10" spans="1:15" s="3" customFormat="1" ht="20" customHeight="1" x14ac:dyDescent="0.2">
      <c r="A10" s="60">
        <v>1</v>
      </c>
      <c r="B10" s="103" t="s">
        <v>53</v>
      </c>
      <c r="C10" s="104"/>
      <c r="D10" s="23">
        <v>1</v>
      </c>
      <c r="E10" s="24" t="s">
        <v>52</v>
      </c>
      <c r="F10" s="20">
        <v>123250</v>
      </c>
      <c r="G10" s="20">
        <f t="shared" si="0"/>
        <v>123250</v>
      </c>
      <c r="H10" s="33">
        <v>0.34</v>
      </c>
      <c r="I10" s="18">
        <f t="shared" si="1"/>
        <v>41905</v>
      </c>
      <c r="J10" s="34">
        <v>0.04</v>
      </c>
      <c r="K10" s="19">
        <f>J10*F10*D10</f>
        <v>4930</v>
      </c>
      <c r="L10" s="33">
        <f t="shared" si="2"/>
        <v>0.38</v>
      </c>
      <c r="M10" s="18">
        <f t="shared" si="2"/>
        <v>46835</v>
      </c>
      <c r="N10" s="34">
        <f t="shared" si="3"/>
        <v>0.62</v>
      </c>
      <c r="O10" s="50">
        <f t="shared" si="4"/>
        <v>76415</v>
      </c>
    </row>
    <row r="11" spans="1:15" s="3" customFormat="1" ht="20" customHeight="1" x14ac:dyDescent="0.2">
      <c r="A11" s="60">
        <v>2</v>
      </c>
      <c r="B11" s="103" t="s">
        <v>70</v>
      </c>
      <c r="C11" s="104"/>
      <c r="D11" s="23">
        <v>1</v>
      </c>
      <c r="E11" s="24" t="s">
        <v>52</v>
      </c>
      <c r="F11" s="20">
        <v>335724.5</v>
      </c>
      <c r="G11" s="20">
        <f t="shared" si="0"/>
        <v>335724.5</v>
      </c>
      <c r="H11" s="33">
        <v>0.41</v>
      </c>
      <c r="I11" s="18">
        <f t="shared" si="1"/>
        <v>137647.04499999998</v>
      </c>
      <c r="J11" s="34">
        <v>0.3</v>
      </c>
      <c r="K11" s="19">
        <f>J11*F11*D11</f>
        <v>100717.34999999999</v>
      </c>
      <c r="L11" s="33">
        <f t="shared" si="2"/>
        <v>0.71</v>
      </c>
      <c r="M11" s="18">
        <f>K11+I11</f>
        <v>238364.39499999996</v>
      </c>
      <c r="N11" s="34">
        <f>D11/D11-L11</f>
        <v>0.29000000000000004</v>
      </c>
      <c r="O11" s="50">
        <f>N11*G11</f>
        <v>97360.10500000001</v>
      </c>
    </row>
    <row r="12" spans="1:15" s="3" customFormat="1" ht="20" customHeight="1" x14ac:dyDescent="0.2">
      <c r="A12" s="60">
        <v>3</v>
      </c>
      <c r="B12" s="103" t="s">
        <v>71</v>
      </c>
      <c r="C12" s="104"/>
      <c r="D12" s="23">
        <v>1</v>
      </c>
      <c r="E12" s="24" t="s">
        <v>52</v>
      </c>
      <c r="F12" s="20">
        <v>335724.5</v>
      </c>
      <c r="G12" s="20">
        <f t="shared" si="0"/>
        <v>335724.5</v>
      </c>
      <c r="H12" s="33">
        <v>0</v>
      </c>
      <c r="I12" s="18">
        <f t="shared" si="1"/>
        <v>0</v>
      </c>
      <c r="J12" s="34">
        <v>0.03</v>
      </c>
      <c r="K12" s="19">
        <f>J12*F12*D12</f>
        <v>10071.734999999999</v>
      </c>
      <c r="L12" s="33">
        <f t="shared" si="2"/>
        <v>0.03</v>
      </c>
      <c r="M12" s="18">
        <f>K12+I12</f>
        <v>10071.734999999999</v>
      </c>
      <c r="N12" s="34">
        <f>D12/D12-L12</f>
        <v>0.97</v>
      </c>
      <c r="O12" s="50">
        <f>N12*G12</f>
        <v>325652.76500000001</v>
      </c>
    </row>
    <row r="13" spans="1:15" s="3" customFormat="1" ht="20" customHeight="1" x14ac:dyDescent="0.2">
      <c r="A13" s="60">
        <v>4</v>
      </c>
      <c r="B13" s="103" t="s">
        <v>64</v>
      </c>
      <c r="C13" s="104"/>
      <c r="D13" s="23">
        <v>1</v>
      </c>
      <c r="E13" s="24" t="s">
        <v>52</v>
      </c>
      <c r="F13" s="20">
        <v>283379.8</v>
      </c>
      <c r="G13" s="20">
        <f t="shared" si="0"/>
        <v>283379.8</v>
      </c>
      <c r="H13" s="33">
        <v>0</v>
      </c>
      <c r="I13" s="18">
        <f t="shared" si="1"/>
        <v>0</v>
      </c>
      <c r="J13" s="34">
        <v>0.12</v>
      </c>
      <c r="K13" s="19">
        <f t="shared" ref="K13:K18" si="5">J13*F13*D13</f>
        <v>34005.576000000001</v>
      </c>
      <c r="L13" s="33">
        <f t="shared" si="2"/>
        <v>0.12</v>
      </c>
      <c r="M13" s="18">
        <f t="shared" si="2"/>
        <v>34005.576000000001</v>
      </c>
      <c r="N13" s="34">
        <f t="shared" si="3"/>
        <v>0.88</v>
      </c>
      <c r="O13" s="50">
        <f t="shared" si="4"/>
        <v>249374.22399999999</v>
      </c>
    </row>
    <row r="14" spans="1:15" s="3" customFormat="1" ht="20" customHeight="1" x14ac:dyDescent="0.2">
      <c r="A14" s="60">
        <v>5</v>
      </c>
      <c r="B14" s="103" t="s">
        <v>65</v>
      </c>
      <c r="C14" s="104"/>
      <c r="D14" s="23">
        <v>1</v>
      </c>
      <c r="E14" s="24" t="s">
        <v>52</v>
      </c>
      <c r="F14" s="20">
        <v>163136.25</v>
      </c>
      <c r="G14" s="20">
        <f t="shared" si="0"/>
        <v>163136.25</v>
      </c>
      <c r="H14" s="33">
        <v>0</v>
      </c>
      <c r="I14" s="18">
        <f t="shared" si="1"/>
        <v>0</v>
      </c>
      <c r="J14" s="34">
        <v>0.04</v>
      </c>
      <c r="K14" s="19">
        <f t="shared" si="5"/>
        <v>6525.45</v>
      </c>
      <c r="L14" s="33">
        <f t="shared" si="2"/>
        <v>0.04</v>
      </c>
      <c r="M14" s="18">
        <f t="shared" si="2"/>
        <v>6525.45</v>
      </c>
      <c r="N14" s="34">
        <f t="shared" si="3"/>
        <v>0.96</v>
      </c>
      <c r="O14" s="50">
        <f t="shared" si="4"/>
        <v>156610.79999999999</v>
      </c>
    </row>
    <row r="15" spans="1:15" s="3" customFormat="1" ht="20" customHeight="1" x14ac:dyDescent="0.2">
      <c r="A15" s="60">
        <v>6</v>
      </c>
      <c r="B15" s="103" t="s">
        <v>66</v>
      </c>
      <c r="C15" s="104"/>
      <c r="D15" s="23">
        <v>1</v>
      </c>
      <c r="E15" s="24" t="s">
        <v>52</v>
      </c>
      <c r="F15" s="20">
        <v>354881.8</v>
      </c>
      <c r="G15" s="20">
        <f t="shared" si="0"/>
        <v>354881.8</v>
      </c>
      <c r="H15" s="33">
        <v>0</v>
      </c>
      <c r="I15" s="18">
        <f t="shared" si="1"/>
        <v>0</v>
      </c>
      <c r="J15" s="34"/>
      <c r="K15" s="19">
        <f t="shared" si="5"/>
        <v>0</v>
      </c>
      <c r="L15" s="33">
        <f t="shared" si="2"/>
        <v>0</v>
      </c>
      <c r="M15" s="18">
        <f t="shared" si="2"/>
        <v>0</v>
      </c>
      <c r="N15" s="34">
        <f t="shared" si="3"/>
        <v>1</v>
      </c>
      <c r="O15" s="50">
        <f t="shared" si="4"/>
        <v>354881.8</v>
      </c>
    </row>
    <row r="16" spans="1:15" s="3" customFormat="1" ht="20" customHeight="1" x14ac:dyDescent="0.2">
      <c r="A16" s="60">
        <v>7</v>
      </c>
      <c r="B16" s="103" t="s">
        <v>67</v>
      </c>
      <c r="C16" s="104"/>
      <c r="D16" s="23">
        <v>1</v>
      </c>
      <c r="E16" s="24" t="s">
        <v>52</v>
      </c>
      <c r="F16" s="20">
        <v>80580</v>
      </c>
      <c r="G16" s="20">
        <f t="shared" si="0"/>
        <v>80580</v>
      </c>
      <c r="H16" s="33">
        <v>0</v>
      </c>
      <c r="I16" s="18">
        <f t="shared" si="1"/>
        <v>0</v>
      </c>
      <c r="J16" s="34">
        <v>0.14000000000000001</v>
      </c>
      <c r="K16" s="19">
        <f t="shared" si="5"/>
        <v>11281.2</v>
      </c>
      <c r="L16" s="33">
        <f t="shared" si="2"/>
        <v>0.14000000000000001</v>
      </c>
      <c r="M16" s="18">
        <f t="shared" si="2"/>
        <v>11281.2</v>
      </c>
      <c r="N16" s="34">
        <f t="shared" si="3"/>
        <v>0.86</v>
      </c>
      <c r="O16" s="50">
        <f t="shared" si="4"/>
        <v>69298.8</v>
      </c>
    </row>
    <row r="17" spans="1:15" s="3" customFormat="1" ht="20" customHeight="1" x14ac:dyDescent="0.2">
      <c r="A17" s="60">
        <v>8</v>
      </c>
      <c r="B17" s="103" t="s">
        <v>68</v>
      </c>
      <c r="C17" s="104"/>
      <c r="D17" s="23">
        <v>1</v>
      </c>
      <c r="E17" s="24" t="s">
        <v>52</v>
      </c>
      <c r="F17" s="20">
        <v>143573.5</v>
      </c>
      <c r="G17" s="20">
        <f t="shared" si="0"/>
        <v>143573.5</v>
      </c>
      <c r="H17" s="33">
        <v>0</v>
      </c>
      <c r="I17" s="18">
        <f t="shared" si="1"/>
        <v>0</v>
      </c>
      <c r="J17" s="34"/>
      <c r="K17" s="19">
        <f t="shared" si="5"/>
        <v>0</v>
      </c>
      <c r="L17" s="33">
        <f t="shared" si="2"/>
        <v>0</v>
      </c>
      <c r="M17" s="18">
        <f t="shared" si="2"/>
        <v>0</v>
      </c>
      <c r="N17" s="34">
        <f t="shared" si="3"/>
        <v>1</v>
      </c>
      <c r="O17" s="50">
        <f t="shared" si="4"/>
        <v>143573.5</v>
      </c>
    </row>
    <row r="18" spans="1:15" s="3" customFormat="1" ht="20" customHeight="1" x14ac:dyDescent="0.2">
      <c r="A18" s="60">
        <v>9</v>
      </c>
      <c r="B18" s="103" t="s">
        <v>74</v>
      </c>
      <c r="C18" s="104"/>
      <c r="D18" s="23">
        <v>1</v>
      </c>
      <c r="E18" s="24" t="s">
        <v>52</v>
      </c>
      <c r="F18" s="20">
        <v>112514.5</v>
      </c>
      <c r="G18" s="20">
        <f t="shared" si="0"/>
        <v>112514.5</v>
      </c>
      <c r="H18" s="33">
        <v>0</v>
      </c>
      <c r="I18" s="18">
        <f t="shared" si="1"/>
        <v>0</v>
      </c>
      <c r="J18" s="34"/>
      <c r="K18" s="19">
        <f t="shared" si="5"/>
        <v>0</v>
      </c>
      <c r="L18" s="33">
        <f t="shared" si="2"/>
        <v>0</v>
      </c>
      <c r="M18" s="18">
        <f t="shared" si="2"/>
        <v>0</v>
      </c>
      <c r="N18" s="34">
        <f t="shared" si="3"/>
        <v>1</v>
      </c>
      <c r="O18" s="50">
        <f t="shared" si="4"/>
        <v>112514.5</v>
      </c>
    </row>
    <row r="19" spans="1:15" s="3" customFormat="1" ht="20" customHeight="1" x14ac:dyDescent="0.2">
      <c r="A19" s="60">
        <v>10</v>
      </c>
      <c r="B19" s="103" t="s">
        <v>69</v>
      </c>
      <c r="C19" s="104"/>
      <c r="D19" s="23">
        <v>1</v>
      </c>
      <c r="E19" s="24" t="s">
        <v>52</v>
      </c>
      <c r="F19" s="20">
        <v>170051</v>
      </c>
      <c r="G19" s="20">
        <f t="shared" si="0"/>
        <v>170051</v>
      </c>
      <c r="H19" s="33">
        <v>0</v>
      </c>
      <c r="I19" s="18">
        <f t="shared" si="1"/>
        <v>0</v>
      </c>
      <c r="J19" s="34">
        <v>0.03</v>
      </c>
      <c r="K19" s="19">
        <f>J19*F19*D19</f>
        <v>5101.53</v>
      </c>
      <c r="L19" s="33">
        <f t="shared" si="2"/>
        <v>0.03</v>
      </c>
      <c r="M19" s="18">
        <f>K19+I19</f>
        <v>5101.53</v>
      </c>
      <c r="N19" s="34">
        <f>D19/D19-L19</f>
        <v>0.97</v>
      </c>
      <c r="O19" s="50">
        <f>N19*G19</f>
        <v>164949.47</v>
      </c>
    </row>
    <row r="20" spans="1:15" s="3" customFormat="1" ht="20" customHeight="1" thickBot="1" x14ac:dyDescent="0.25">
      <c r="A20" s="70">
        <v>11</v>
      </c>
      <c r="B20" s="105" t="s">
        <v>73</v>
      </c>
      <c r="C20" s="106"/>
      <c r="D20" s="51">
        <v>1</v>
      </c>
      <c r="E20" s="52" t="s">
        <v>52</v>
      </c>
      <c r="F20" s="53">
        <v>22184.149999999998</v>
      </c>
      <c r="G20" s="53">
        <f t="shared" si="0"/>
        <v>22184.149999999998</v>
      </c>
      <c r="H20" s="54">
        <v>0</v>
      </c>
      <c r="I20" s="55">
        <f t="shared" si="1"/>
        <v>0</v>
      </c>
      <c r="J20" s="56"/>
      <c r="K20" s="57">
        <f>J20*F20*D20</f>
        <v>0</v>
      </c>
      <c r="L20" s="54">
        <f t="shared" si="2"/>
        <v>0</v>
      </c>
      <c r="M20" s="55">
        <f t="shared" si="2"/>
        <v>0</v>
      </c>
      <c r="N20" s="56">
        <f t="shared" ref="N20" si="6">D20/D20-L20</f>
        <v>1</v>
      </c>
      <c r="O20" s="58">
        <f t="shared" ref="O20" si="7">N20*G20</f>
        <v>22184.149999999998</v>
      </c>
    </row>
    <row r="21" spans="1:15" s="2" customFormat="1" ht="20.149999999999999" customHeight="1" thickBot="1" x14ac:dyDescent="0.3">
      <c r="A21" s="107" t="s">
        <v>16</v>
      </c>
      <c r="B21" s="108"/>
      <c r="C21" s="108"/>
      <c r="D21" s="108"/>
      <c r="E21" s="108"/>
      <c r="F21" s="109"/>
      <c r="G21" s="44">
        <f>SUBTOTAL(9,G9:G20)</f>
        <v>2500000</v>
      </c>
      <c r="H21" s="45">
        <f>I21/C6</f>
        <v>0.22182081799999998</v>
      </c>
      <c r="I21" s="44">
        <f>SUBTOTAL(9,I9:I20)</f>
        <v>554552.04499999993</v>
      </c>
      <c r="J21" s="46">
        <f>K21/C6</f>
        <v>6.9053136400000006E-2</v>
      </c>
      <c r="K21" s="47">
        <f>SUBTOTAL(9,K9:K20)</f>
        <v>172632.84100000001</v>
      </c>
      <c r="L21" s="45">
        <f>M21/C6</f>
        <v>0.29087395439999997</v>
      </c>
      <c r="M21" s="48">
        <f>SUBTOTAL(9,M9:M20)</f>
        <v>727184.88599999994</v>
      </c>
      <c r="N21" s="46">
        <f>O21/C6</f>
        <v>0.70912604560000003</v>
      </c>
      <c r="O21" s="49">
        <f>SUBTOTAL(9,O9:O20)</f>
        <v>1772815.1140000001</v>
      </c>
    </row>
    <row r="22" spans="1:15" ht="20.3" customHeight="1" thickBot="1" x14ac:dyDescent="0.3">
      <c r="A22" s="110" t="s">
        <v>10</v>
      </c>
      <c r="B22" s="111"/>
      <c r="C22" s="111"/>
      <c r="D22" s="111"/>
      <c r="E22" s="111"/>
      <c r="F22" s="111"/>
      <c r="G22" s="111"/>
      <c r="H22" s="111"/>
      <c r="I22" s="112"/>
      <c r="J22" s="100"/>
      <c r="K22" s="101"/>
      <c r="L22" s="101"/>
      <c r="M22" s="102"/>
      <c r="N22" s="5"/>
      <c r="O22" s="6"/>
    </row>
    <row r="23" spans="1:15" ht="20.95" customHeight="1" thickBot="1" x14ac:dyDescent="0.25">
      <c r="A23" s="37"/>
      <c r="B23" s="38"/>
      <c r="C23" s="38"/>
      <c r="D23" s="38"/>
      <c r="E23" s="38"/>
      <c r="F23" s="38"/>
      <c r="G23" s="90" t="s">
        <v>22</v>
      </c>
      <c r="H23" s="90"/>
      <c r="I23" s="91"/>
      <c r="J23" s="92">
        <f>K21</f>
        <v>172632.84100000001</v>
      </c>
      <c r="K23" s="93"/>
      <c r="L23" s="93"/>
      <c r="M23" s="94"/>
      <c r="N23" s="13"/>
      <c r="O23" s="14"/>
    </row>
    <row r="24" spans="1:15" ht="29.3" customHeight="1" x14ac:dyDescent="0.2">
      <c r="A24" s="7"/>
      <c r="B24" s="95" t="s">
        <v>54</v>
      </c>
      <c r="C24" s="9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</row>
    <row r="25" spans="1:15" x14ac:dyDescent="0.2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</row>
    <row r="26" spans="1:15" ht="73" customHeight="1" thickBo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5" ht="8.1999999999999993" customHeight="1" thickBot="1" x14ac:dyDescent="0.25"/>
    <row r="28" spans="1:15" ht="17.7" x14ac:dyDescent="0.2">
      <c r="A28" s="96" t="s">
        <v>51</v>
      </c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9"/>
    </row>
    <row r="29" spans="1:15" ht="15.05" x14ac:dyDescent="0.2">
      <c r="A29" s="84" t="s">
        <v>25</v>
      </c>
      <c r="B29" s="85"/>
      <c r="C29" s="72">
        <f>G21</f>
        <v>2500000</v>
      </c>
      <c r="D29" s="86" t="s">
        <v>63</v>
      </c>
      <c r="E29" s="87"/>
      <c r="F29" s="30">
        <v>375000</v>
      </c>
      <c r="G29" s="29"/>
      <c r="H29" s="88"/>
      <c r="I29" s="89"/>
      <c r="J29" s="29" t="s">
        <v>47</v>
      </c>
      <c r="K29" s="30">
        <v>0</v>
      </c>
      <c r="L29" s="29" t="s">
        <v>48</v>
      </c>
      <c r="M29" s="30">
        <v>0</v>
      </c>
      <c r="N29" s="29" t="s">
        <v>49</v>
      </c>
      <c r="O29" s="32">
        <v>0</v>
      </c>
    </row>
    <row r="30" spans="1:15" ht="15.05" x14ac:dyDescent="0.2">
      <c r="A30" s="84" t="s">
        <v>50</v>
      </c>
      <c r="B30" s="85"/>
      <c r="C30" s="72">
        <f>M21</f>
        <v>727184.88599999994</v>
      </c>
      <c r="D30" s="86" t="s">
        <v>26</v>
      </c>
      <c r="E30" s="87"/>
      <c r="F30" s="30">
        <v>179552.04499999998</v>
      </c>
      <c r="G30" s="29" t="s">
        <v>27</v>
      </c>
      <c r="H30" s="88">
        <v>0</v>
      </c>
      <c r="I30" s="89"/>
      <c r="J30" s="29" t="s">
        <v>28</v>
      </c>
      <c r="K30" s="30">
        <v>0</v>
      </c>
      <c r="L30" s="29" t="s">
        <v>29</v>
      </c>
      <c r="M30" s="30">
        <v>0</v>
      </c>
      <c r="N30" s="29" t="s">
        <v>30</v>
      </c>
      <c r="O30" s="32">
        <v>0</v>
      </c>
    </row>
    <row r="31" spans="1:15" ht="15.05" x14ac:dyDescent="0.2">
      <c r="A31" s="84" t="s">
        <v>36</v>
      </c>
      <c r="B31" s="85"/>
      <c r="C31" s="72">
        <f>O21</f>
        <v>1772815.1140000001</v>
      </c>
      <c r="D31" s="86" t="s">
        <v>31</v>
      </c>
      <c r="E31" s="87"/>
      <c r="F31" s="30">
        <f>K21</f>
        <v>172632.84100000001</v>
      </c>
      <c r="G31" s="29" t="s">
        <v>32</v>
      </c>
      <c r="H31" s="88">
        <v>0</v>
      </c>
      <c r="I31" s="89"/>
      <c r="J31" s="29" t="s">
        <v>33</v>
      </c>
      <c r="K31" s="30">
        <v>0</v>
      </c>
      <c r="L31" s="29" t="s">
        <v>34</v>
      </c>
      <c r="M31" s="30">
        <v>0</v>
      </c>
      <c r="N31" s="29" t="s">
        <v>35</v>
      </c>
      <c r="O31" s="32">
        <v>0</v>
      </c>
    </row>
    <row r="32" spans="1:15" ht="15.05" x14ac:dyDescent="0.2">
      <c r="A32" s="84"/>
      <c r="B32" s="85"/>
      <c r="C32" s="31"/>
      <c r="D32" s="86" t="s">
        <v>37</v>
      </c>
      <c r="E32" s="87"/>
      <c r="F32" s="30">
        <v>0</v>
      </c>
      <c r="G32" s="29" t="s">
        <v>38</v>
      </c>
      <c r="H32" s="88">
        <v>0</v>
      </c>
      <c r="I32" s="89"/>
      <c r="J32" s="29" t="s">
        <v>39</v>
      </c>
      <c r="K32" s="30">
        <v>0</v>
      </c>
      <c r="L32" s="29" t="s">
        <v>40</v>
      </c>
      <c r="M32" s="30">
        <v>0</v>
      </c>
      <c r="N32" s="29" t="s">
        <v>41</v>
      </c>
      <c r="O32" s="32">
        <v>0</v>
      </c>
    </row>
    <row r="33" spans="1:15" ht="15.05" x14ac:dyDescent="0.2">
      <c r="A33" s="84"/>
      <c r="B33" s="85"/>
      <c r="C33" s="31"/>
      <c r="D33" s="86" t="s">
        <v>42</v>
      </c>
      <c r="E33" s="87"/>
      <c r="F33" s="30">
        <v>0</v>
      </c>
      <c r="G33" s="29" t="s">
        <v>43</v>
      </c>
      <c r="H33" s="88">
        <v>0</v>
      </c>
      <c r="I33" s="89"/>
      <c r="J33" s="29" t="s">
        <v>44</v>
      </c>
      <c r="K33" s="30">
        <v>0</v>
      </c>
      <c r="L33" s="29" t="s">
        <v>45</v>
      </c>
      <c r="M33" s="30">
        <v>0</v>
      </c>
      <c r="N33" s="29" t="s">
        <v>46</v>
      </c>
      <c r="O33" s="32">
        <v>0</v>
      </c>
    </row>
    <row r="34" spans="1:15" ht="18.350000000000001" thickBot="1" x14ac:dyDescent="0.25">
      <c r="A34" s="25"/>
      <c r="B34" s="26"/>
      <c r="C34" s="26"/>
      <c r="D34" s="26"/>
      <c r="E34" s="26"/>
      <c r="F34" s="36"/>
      <c r="G34" s="36"/>
      <c r="H34" s="27"/>
      <c r="I34" s="35"/>
      <c r="J34" s="26"/>
      <c r="K34" s="26"/>
      <c r="L34" s="26"/>
      <c r="M34" s="26"/>
      <c r="N34" s="26"/>
      <c r="O34" s="28"/>
    </row>
    <row r="37" spans="1:15" x14ac:dyDescent="0.2">
      <c r="F37" s="59">
        <f>F31*0.7</f>
        <v>120842.9887</v>
      </c>
    </row>
    <row r="38" spans="1:15" x14ac:dyDescent="0.2">
      <c r="F38" s="59">
        <f>F31-F37</f>
        <v>51789.852300000013</v>
      </c>
    </row>
    <row r="39" spans="1:15" x14ac:dyDescent="0.2">
      <c r="F39" s="59">
        <f>F38*0.11</f>
        <v>5696.8837530000019</v>
      </c>
    </row>
  </sheetData>
  <mergeCells count="62"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B16:C16"/>
    <mergeCell ref="H7:I7"/>
    <mergeCell ref="J7:K7"/>
    <mergeCell ref="L7:M7"/>
    <mergeCell ref="N7:O7"/>
    <mergeCell ref="B9:C9"/>
    <mergeCell ref="B10:C10"/>
    <mergeCell ref="B11:C11"/>
    <mergeCell ref="B12:C12"/>
    <mergeCell ref="B13:C13"/>
    <mergeCell ref="B14:C14"/>
    <mergeCell ref="B15:C15"/>
    <mergeCell ref="A29:B29"/>
    <mergeCell ref="D29:E29"/>
    <mergeCell ref="H29:I29"/>
    <mergeCell ref="B17:C17"/>
    <mergeCell ref="B18:C18"/>
    <mergeCell ref="B19:C19"/>
    <mergeCell ref="B20:C20"/>
    <mergeCell ref="A21:F21"/>
    <mergeCell ref="A22:I22"/>
    <mergeCell ref="J22:M22"/>
    <mergeCell ref="G23:I23"/>
    <mergeCell ref="J23:M23"/>
    <mergeCell ref="B24:C24"/>
    <mergeCell ref="A28:O28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D57B-ABDA-4E3A-94B6-7AF1558DE8BE}">
  <dimension ref="A1:O39"/>
  <sheetViews>
    <sheetView showGridLines="0" zoomScale="70" zoomScaleNormal="70" zoomScaleSheetLayoutView="70" zoomScalePageLayoutView="50" workbookViewId="0">
      <selection activeCell="G13" sqref="G13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</cols>
  <sheetData>
    <row r="1" spans="1:15" ht="64.5" customHeight="1" thickBot="1" x14ac:dyDescent="0.25">
      <c r="A1" s="150" t="s">
        <v>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5" ht="20.149999999999999" customHeight="1" x14ac:dyDescent="0.2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</row>
    <row r="3" spans="1:15" ht="20.149999999999999" customHeight="1" x14ac:dyDescent="0.2">
      <c r="A3" s="156" t="s">
        <v>0</v>
      </c>
      <c r="B3" s="157"/>
      <c r="C3" s="158" t="s">
        <v>54</v>
      </c>
      <c r="D3" s="158"/>
      <c r="E3" s="158"/>
      <c r="F3" s="15" t="s">
        <v>1</v>
      </c>
      <c r="G3" s="159" t="s">
        <v>60</v>
      </c>
      <c r="H3" s="160"/>
      <c r="I3" s="160"/>
      <c r="J3" s="160"/>
      <c r="K3" s="160"/>
      <c r="L3" s="161"/>
      <c r="M3" s="21" t="s">
        <v>19</v>
      </c>
      <c r="N3" s="162"/>
      <c r="O3" s="147"/>
    </row>
    <row r="4" spans="1:15" ht="20.149999999999999" customHeight="1" x14ac:dyDescent="0.2">
      <c r="A4" s="142" t="s">
        <v>23</v>
      </c>
      <c r="B4" s="143"/>
      <c r="C4" s="144" t="s">
        <v>72</v>
      </c>
      <c r="D4" s="144"/>
      <c r="E4" s="144"/>
      <c r="F4" s="15"/>
      <c r="G4" s="145"/>
      <c r="H4" s="145"/>
      <c r="I4" s="145"/>
      <c r="J4" s="145"/>
      <c r="K4" s="145"/>
      <c r="L4" s="145"/>
      <c r="M4" s="21" t="s">
        <v>18</v>
      </c>
      <c r="N4" s="146">
        <v>0</v>
      </c>
      <c r="O4" s="147"/>
    </row>
    <row r="5" spans="1:15" ht="20.149999999999999" customHeight="1" x14ac:dyDescent="0.2">
      <c r="A5" s="142" t="s">
        <v>55</v>
      </c>
      <c r="B5" s="143"/>
      <c r="C5" s="144"/>
      <c r="D5" s="144"/>
      <c r="E5" s="144"/>
      <c r="F5" s="16" t="s">
        <v>12</v>
      </c>
      <c r="G5" s="148" t="s">
        <v>77</v>
      </c>
      <c r="H5" s="148"/>
      <c r="I5" s="148"/>
      <c r="J5" s="148"/>
      <c r="K5" s="148"/>
      <c r="L5" s="148"/>
      <c r="M5" s="21" t="s">
        <v>2</v>
      </c>
      <c r="N5" s="149">
        <v>46084</v>
      </c>
      <c r="O5" s="147"/>
    </row>
    <row r="6" spans="1:15" ht="20.149999999999999" customHeight="1" thickBot="1" x14ac:dyDescent="0.25">
      <c r="A6" s="113" t="s">
        <v>56</v>
      </c>
      <c r="B6" s="114"/>
      <c r="C6" s="115">
        <v>2500000</v>
      </c>
      <c r="D6" s="116"/>
      <c r="E6" s="116"/>
      <c r="F6" s="17" t="s">
        <v>24</v>
      </c>
      <c r="G6" s="117" t="s">
        <v>78</v>
      </c>
      <c r="H6" s="118"/>
      <c r="I6" s="118"/>
      <c r="J6" s="118"/>
      <c r="K6" s="118"/>
      <c r="L6" s="119"/>
      <c r="M6" s="22" t="s">
        <v>13</v>
      </c>
      <c r="N6" s="120" t="s">
        <v>61</v>
      </c>
      <c r="O6" s="121"/>
    </row>
    <row r="7" spans="1:15" s="1" customFormat="1" ht="24.05" customHeight="1" x14ac:dyDescent="0.25">
      <c r="A7" s="122" t="s">
        <v>5</v>
      </c>
      <c r="B7" s="124" t="s">
        <v>6</v>
      </c>
      <c r="C7" s="125"/>
      <c r="D7" s="128" t="s">
        <v>7</v>
      </c>
      <c r="E7" s="130" t="s">
        <v>8</v>
      </c>
      <c r="F7" s="128" t="s">
        <v>20</v>
      </c>
      <c r="G7" s="132" t="s">
        <v>21</v>
      </c>
      <c r="H7" s="134" t="s">
        <v>14</v>
      </c>
      <c r="I7" s="135"/>
      <c r="J7" s="136" t="s">
        <v>15</v>
      </c>
      <c r="K7" s="136"/>
      <c r="L7" s="137" t="s">
        <v>17</v>
      </c>
      <c r="M7" s="138"/>
      <c r="N7" s="139" t="s">
        <v>4</v>
      </c>
      <c r="O7" s="138"/>
    </row>
    <row r="8" spans="1:15" s="1" customFormat="1" ht="15.05" customHeight="1" thickBot="1" x14ac:dyDescent="0.3">
      <c r="A8" s="123"/>
      <c r="B8" s="126"/>
      <c r="C8" s="127"/>
      <c r="D8" s="129"/>
      <c r="E8" s="131"/>
      <c r="F8" s="129"/>
      <c r="G8" s="133"/>
      <c r="H8" s="74" t="s">
        <v>7</v>
      </c>
      <c r="I8" s="39" t="s">
        <v>9</v>
      </c>
      <c r="J8" s="40" t="s">
        <v>7</v>
      </c>
      <c r="K8" s="41" t="s">
        <v>3</v>
      </c>
      <c r="L8" s="74" t="s">
        <v>7</v>
      </c>
      <c r="M8" s="39" t="s">
        <v>3</v>
      </c>
      <c r="N8" s="42" t="s">
        <v>7</v>
      </c>
      <c r="O8" s="43" t="s">
        <v>9</v>
      </c>
    </row>
    <row r="9" spans="1:15" s="3" customFormat="1" ht="20" customHeight="1" x14ac:dyDescent="0.2">
      <c r="A9" s="61">
        <v>0</v>
      </c>
      <c r="B9" s="140" t="s">
        <v>58</v>
      </c>
      <c r="C9" s="141"/>
      <c r="D9" s="62">
        <v>1</v>
      </c>
      <c r="E9" s="63" t="s">
        <v>52</v>
      </c>
      <c r="F9" s="64">
        <f>C6*0.15</f>
        <v>375000</v>
      </c>
      <c r="G9" s="64">
        <f t="shared" ref="G9:G20" si="0">F9*D9</f>
        <v>375000</v>
      </c>
      <c r="H9" s="65">
        <v>1</v>
      </c>
      <c r="I9" s="66">
        <f t="shared" ref="I9:I20" si="1">H9*G9</f>
        <v>375000</v>
      </c>
      <c r="J9" s="67"/>
      <c r="K9" s="68">
        <f>J9*F9*D9</f>
        <v>0</v>
      </c>
      <c r="L9" s="65">
        <f t="shared" ref="L9:M20" si="2">J9+H9</f>
        <v>1</v>
      </c>
      <c r="M9" s="66">
        <f t="shared" si="2"/>
        <v>375000</v>
      </c>
      <c r="N9" s="67">
        <f t="shared" ref="N9:N18" si="3">D9/D9-L9</f>
        <v>0</v>
      </c>
      <c r="O9" s="69">
        <f t="shared" ref="O9:O18" si="4">N9*G9</f>
        <v>0</v>
      </c>
    </row>
    <row r="10" spans="1:15" s="3" customFormat="1" ht="20" customHeight="1" x14ac:dyDescent="0.2">
      <c r="A10" s="60">
        <v>1</v>
      </c>
      <c r="B10" s="103" t="s">
        <v>53</v>
      </c>
      <c r="C10" s="104"/>
      <c r="D10" s="23">
        <v>1</v>
      </c>
      <c r="E10" s="24" t="s">
        <v>52</v>
      </c>
      <c r="F10" s="20">
        <v>123250</v>
      </c>
      <c r="G10" s="20">
        <f t="shared" si="0"/>
        <v>123250</v>
      </c>
      <c r="H10" s="33">
        <v>0.38</v>
      </c>
      <c r="I10" s="18">
        <f t="shared" si="1"/>
        <v>46835</v>
      </c>
      <c r="J10" s="34">
        <v>0.08</v>
      </c>
      <c r="K10" s="19">
        <f>J10*F10*D10</f>
        <v>9860</v>
      </c>
      <c r="L10" s="33">
        <f t="shared" si="2"/>
        <v>0.46</v>
      </c>
      <c r="M10" s="18">
        <f t="shared" si="2"/>
        <v>56695</v>
      </c>
      <c r="N10" s="34">
        <f t="shared" si="3"/>
        <v>0.54</v>
      </c>
      <c r="O10" s="50">
        <f t="shared" si="4"/>
        <v>66555</v>
      </c>
    </row>
    <row r="11" spans="1:15" s="3" customFormat="1" ht="20" customHeight="1" x14ac:dyDescent="0.2">
      <c r="A11" s="60">
        <v>2</v>
      </c>
      <c r="B11" s="103" t="s">
        <v>70</v>
      </c>
      <c r="C11" s="104"/>
      <c r="D11" s="23">
        <v>1</v>
      </c>
      <c r="E11" s="24" t="s">
        <v>52</v>
      </c>
      <c r="F11" s="20">
        <v>335724.5</v>
      </c>
      <c r="G11" s="20">
        <f t="shared" si="0"/>
        <v>335724.5</v>
      </c>
      <c r="H11" s="33">
        <v>0.71</v>
      </c>
      <c r="I11" s="18">
        <f t="shared" si="1"/>
        <v>238364.39499999999</v>
      </c>
      <c r="J11" s="34">
        <v>0.05</v>
      </c>
      <c r="K11" s="19">
        <f>J11*F11*D11</f>
        <v>16786.225000000002</v>
      </c>
      <c r="L11" s="33">
        <f t="shared" si="2"/>
        <v>0.76</v>
      </c>
      <c r="M11" s="18">
        <f>K11+I11</f>
        <v>255150.62</v>
      </c>
      <c r="N11" s="34">
        <f>D11/D11-L11</f>
        <v>0.24</v>
      </c>
      <c r="O11" s="50">
        <f>N11*G11</f>
        <v>80573.87999999999</v>
      </c>
    </row>
    <row r="12" spans="1:15" s="3" customFormat="1" ht="20" customHeight="1" x14ac:dyDescent="0.2">
      <c r="A12" s="60">
        <v>3</v>
      </c>
      <c r="B12" s="103" t="s">
        <v>71</v>
      </c>
      <c r="C12" s="104"/>
      <c r="D12" s="23">
        <v>1</v>
      </c>
      <c r="E12" s="24" t="s">
        <v>52</v>
      </c>
      <c r="F12" s="20">
        <v>335724.5</v>
      </c>
      <c r="G12" s="20">
        <f t="shared" si="0"/>
        <v>335724.5</v>
      </c>
      <c r="H12" s="33">
        <v>0.03</v>
      </c>
      <c r="I12" s="18">
        <f t="shared" si="1"/>
        <v>10071.734999999999</v>
      </c>
      <c r="J12" s="34">
        <v>0.06</v>
      </c>
      <c r="K12" s="19">
        <f>J12*F12*D12</f>
        <v>20143.469999999998</v>
      </c>
      <c r="L12" s="33">
        <f t="shared" si="2"/>
        <v>0.09</v>
      </c>
      <c r="M12" s="18">
        <f>K12+I12</f>
        <v>30215.204999999994</v>
      </c>
      <c r="N12" s="34">
        <f>D12/D12-L12</f>
        <v>0.91</v>
      </c>
      <c r="O12" s="50">
        <f>N12*G12</f>
        <v>305509.29499999998</v>
      </c>
    </row>
    <row r="13" spans="1:15" s="3" customFormat="1" ht="20" customHeight="1" x14ac:dyDescent="0.2">
      <c r="A13" s="60">
        <v>4</v>
      </c>
      <c r="B13" s="103" t="s">
        <v>64</v>
      </c>
      <c r="C13" s="104"/>
      <c r="D13" s="23">
        <v>1</v>
      </c>
      <c r="E13" s="24" t="s">
        <v>52</v>
      </c>
      <c r="F13" s="20">
        <v>283379.8</v>
      </c>
      <c r="G13" s="20">
        <f t="shared" si="0"/>
        <v>283379.8</v>
      </c>
      <c r="H13" s="33">
        <v>0.12</v>
      </c>
      <c r="I13" s="18">
        <f t="shared" si="1"/>
        <v>34005.576000000001</v>
      </c>
      <c r="J13" s="34">
        <v>0.02</v>
      </c>
      <c r="K13" s="19">
        <f t="shared" ref="K13:K18" si="5">J13*F13*D13</f>
        <v>5667.5959999999995</v>
      </c>
      <c r="L13" s="33">
        <f t="shared" si="2"/>
        <v>0.13999999999999999</v>
      </c>
      <c r="M13" s="18">
        <f t="shared" si="2"/>
        <v>39673.171999999999</v>
      </c>
      <c r="N13" s="34">
        <f t="shared" si="3"/>
        <v>0.86</v>
      </c>
      <c r="O13" s="50">
        <f t="shared" si="4"/>
        <v>243706.628</v>
      </c>
    </row>
    <row r="14" spans="1:15" s="3" customFormat="1" ht="20" customHeight="1" x14ac:dyDescent="0.2">
      <c r="A14" s="60">
        <v>5</v>
      </c>
      <c r="B14" s="103" t="s">
        <v>65</v>
      </c>
      <c r="C14" s="104"/>
      <c r="D14" s="23">
        <v>1</v>
      </c>
      <c r="E14" s="24" t="s">
        <v>52</v>
      </c>
      <c r="F14" s="20">
        <v>163136.25</v>
      </c>
      <c r="G14" s="20">
        <f t="shared" si="0"/>
        <v>163136.25</v>
      </c>
      <c r="H14" s="33">
        <v>0.04</v>
      </c>
      <c r="I14" s="18">
        <f t="shared" si="1"/>
        <v>6525.45</v>
      </c>
      <c r="J14" s="34">
        <v>0.02</v>
      </c>
      <c r="K14" s="19">
        <f t="shared" si="5"/>
        <v>3262.7249999999999</v>
      </c>
      <c r="L14" s="33">
        <f t="shared" si="2"/>
        <v>0.06</v>
      </c>
      <c r="M14" s="18">
        <f t="shared" si="2"/>
        <v>9788.1749999999993</v>
      </c>
      <c r="N14" s="34">
        <f t="shared" si="3"/>
        <v>0.94</v>
      </c>
      <c r="O14" s="50">
        <f t="shared" si="4"/>
        <v>153348.07499999998</v>
      </c>
    </row>
    <row r="15" spans="1:15" s="3" customFormat="1" ht="20" customHeight="1" x14ac:dyDescent="0.2">
      <c r="A15" s="60">
        <v>6</v>
      </c>
      <c r="B15" s="103" t="s">
        <v>66</v>
      </c>
      <c r="C15" s="104"/>
      <c r="D15" s="23">
        <v>1</v>
      </c>
      <c r="E15" s="24" t="s">
        <v>52</v>
      </c>
      <c r="F15" s="20">
        <v>354881.8</v>
      </c>
      <c r="G15" s="20">
        <f t="shared" si="0"/>
        <v>354881.8</v>
      </c>
      <c r="H15" s="33">
        <v>0</v>
      </c>
      <c r="I15" s="18">
        <f t="shared" si="1"/>
        <v>0</v>
      </c>
      <c r="J15" s="34">
        <v>0.03</v>
      </c>
      <c r="K15" s="19">
        <f t="shared" si="5"/>
        <v>10646.454</v>
      </c>
      <c r="L15" s="33">
        <f t="shared" si="2"/>
        <v>0.03</v>
      </c>
      <c r="M15" s="18">
        <f t="shared" si="2"/>
        <v>10646.454</v>
      </c>
      <c r="N15" s="34">
        <f t="shared" si="3"/>
        <v>0.97</v>
      </c>
      <c r="O15" s="50">
        <f t="shared" si="4"/>
        <v>344235.34599999996</v>
      </c>
    </row>
    <row r="16" spans="1:15" s="3" customFormat="1" ht="20" customHeight="1" x14ac:dyDescent="0.2">
      <c r="A16" s="60">
        <v>7</v>
      </c>
      <c r="B16" s="103" t="s">
        <v>67</v>
      </c>
      <c r="C16" s="104"/>
      <c r="D16" s="23">
        <v>1</v>
      </c>
      <c r="E16" s="24" t="s">
        <v>52</v>
      </c>
      <c r="F16" s="20">
        <v>80580</v>
      </c>
      <c r="G16" s="20">
        <f t="shared" si="0"/>
        <v>80580</v>
      </c>
      <c r="H16" s="33">
        <v>0.14000000000000001</v>
      </c>
      <c r="I16" s="18">
        <f t="shared" si="1"/>
        <v>11281.2</v>
      </c>
      <c r="J16" s="34">
        <v>0.1</v>
      </c>
      <c r="K16" s="19">
        <f t="shared" si="5"/>
        <v>8058</v>
      </c>
      <c r="L16" s="33">
        <f t="shared" si="2"/>
        <v>0.24000000000000002</v>
      </c>
      <c r="M16" s="18">
        <f t="shared" si="2"/>
        <v>19339.2</v>
      </c>
      <c r="N16" s="34">
        <f t="shared" si="3"/>
        <v>0.76</v>
      </c>
      <c r="O16" s="50">
        <f t="shared" si="4"/>
        <v>61240.800000000003</v>
      </c>
    </row>
    <row r="17" spans="1:15" s="3" customFormat="1" ht="20" customHeight="1" x14ac:dyDescent="0.2">
      <c r="A17" s="60">
        <v>8</v>
      </c>
      <c r="B17" s="103" t="s">
        <v>68</v>
      </c>
      <c r="C17" s="104"/>
      <c r="D17" s="23">
        <v>1</v>
      </c>
      <c r="E17" s="24" t="s">
        <v>52</v>
      </c>
      <c r="F17" s="20">
        <v>143573.5</v>
      </c>
      <c r="G17" s="20">
        <f t="shared" si="0"/>
        <v>143573.5</v>
      </c>
      <c r="H17" s="33">
        <v>0</v>
      </c>
      <c r="I17" s="18">
        <f t="shared" si="1"/>
        <v>0</v>
      </c>
      <c r="J17" s="34">
        <v>0.13500000000000001</v>
      </c>
      <c r="K17" s="19">
        <f t="shared" si="5"/>
        <v>19382.422500000001</v>
      </c>
      <c r="L17" s="33">
        <f t="shared" si="2"/>
        <v>0.13500000000000001</v>
      </c>
      <c r="M17" s="18">
        <f t="shared" si="2"/>
        <v>19382.422500000001</v>
      </c>
      <c r="N17" s="34">
        <f t="shared" si="3"/>
        <v>0.86499999999999999</v>
      </c>
      <c r="O17" s="50">
        <f t="shared" si="4"/>
        <v>124191.0775</v>
      </c>
    </row>
    <row r="18" spans="1:15" s="3" customFormat="1" ht="20" customHeight="1" x14ac:dyDescent="0.2">
      <c r="A18" s="60">
        <v>9</v>
      </c>
      <c r="B18" s="103" t="s">
        <v>74</v>
      </c>
      <c r="C18" s="104"/>
      <c r="D18" s="23">
        <v>1</v>
      </c>
      <c r="E18" s="24" t="s">
        <v>52</v>
      </c>
      <c r="F18" s="20">
        <v>112514.5</v>
      </c>
      <c r="G18" s="20">
        <f t="shared" si="0"/>
        <v>112514.5</v>
      </c>
      <c r="H18" s="33">
        <v>0</v>
      </c>
      <c r="I18" s="18">
        <f t="shared" si="1"/>
        <v>0</v>
      </c>
      <c r="J18" s="34">
        <v>1.4999999999999999E-2</v>
      </c>
      <c r="K18" s="19">
        <f t="shared" si="5"/>
        <v>1687.7175</v>
      </c>
      <c r="L18" s="33">
        <f t="shared" si="2"/>
        <v>1.4999999999999999E-2</v>
      </c>
      <c r="M18" s="18">
        <f t="shared" si="2"/>
        <v>1687.7175</v>
      </c>
      <c r="N18" s="34">
        <f t="shared" si="3"/>
        <v>0.98499999999999999</v>
      </c>
      <c r="O18" s="50">
        <f t="shared" si="4"/>
        <v>110826.7825</v>
      </c>
    </row>
    <row r="19" spans="1:15" s="3" customFormat="1" ht="20" customHeight="1" x14ac:dyDescent="0.2">
      <c r="A19" s="60">
        <v>10</v>
      </c>
      <c r="B19" s="103" t="s">
        <v>69</v>
      </c>
      <c r="C19" s="104"/>
      <c r="D19" s="23">
        <v>1</v>
      </c>
      <c r="E19" s="24" t="s">
        <v>52</v>
      </c>
      <c r="F19" s="20">
        <v>170051</v>
      </c>
      <c r="G19" s="20">
        <f t="shared" si="0"/>
        <v>170051</v>
      </c>
      <c r="H19" s="33">
        <v>0.03</v>
      </c>
      <c r="I19" s="18">
        <f t="shared" si="1"/>
        <v>5101.53</v>
      </c>
      <c r="J19" s="34">
        <v>0.04</v>
      </c>
      <c r="K19" s="19">
        <f>J19*F19*D19</f>
        <v>6802.04</v>
      </c>
      <c r="L19" s="33">
        <f t="shared" si="2"/>
        <v>7.0000000000000007E-2</v>
      </c>
      <c r="M19" s="18">
        <f>K19+I19</f>
        <v>11903.57</v>
      </c>
      <c r="N19" s="34">
        <f>D19/D19-L19</f>
        <v>0.92999999999999994</v>
      </c>
      <c r="O19" s="50">
        <f>N19*G19</f>
        <v>158147.43</v>
      </c>
    </row>
    <row r="20" spans="1:15" s="3" customFormat="1" ht="20" customHeight="1" thickBot="1" x14ac:dyDescent="0.25">
      <c r="A20" s="70">
        <v>11</v>
      </c>
      <c r="B20" s="105" t="s">
        <v>73</v>
      </c>
      <c r="C20" s="106"/>
      <c r="D20" s="51">
        <v>1</v>
      </c>
      <c r="E20" s="52" t="s">
        <v>52</v>
      </c>
      <c r="F20" s="53">
        <v>22184.149999999998</v>
      </c>
      <c r="G20" s="53">
        <f t="shared" si="0"/>
        <v>22184.149999999998</v>
      </c>
      <c r="H20" s="54">
        <v>0</v>
      </c>
      <c r="I20" s="55">
        <f t="shared" si="1"/>
        <v>0</v>
      </c>
      <c r="J20" s="56"/>
      <c r="K20" s="57">
        <f>J20*F20*D20</f>
        <v>0</v>
      </c>
      <c r="L20" s="54">
        <f t="shared" si="2"/>
        <v>0</v>
      </c>
      <c r="M20" s="55">
        <f t="shared" si="2"/>
        <v>0</v>
      </c>
      <c r="N20" s="56">
        <f t="shared" ref="N20" si="6">D20/D20-L20</f>
        <v>1</v>
      </c>
      <c r="O20" s="58">
        <f t="shared" ref="O20" si="7">N20*G20</f>
        <v>22184.149999999998</v>
      </c>
    </row>
    <row r="21" spans="1:15" s="2" customFormat="1" ht="20.149999999999999" customHeight="1" thickBot="1" x14ac:dyDescent="0.3">
      <c r="A21" s="107" t="s">
        <v>16</v>
      </c>
      <c r="B21" s="108"/>
      <c r="C21" s="108"/>
      <c r="D21" s="108"/>
      <c r="E21" s="108"/>
      <c r="F21" s="109"/>
      <c r="G21" s="44">
        <f>SUBTOTAL(9,G9:G20)</f>
        <v>2500000</v>
      </c>
      <c r="H21" s="45">
        <f>I21/C6</f>
        <v>0.29087395439999997</v>
      </c>
      <c r="I21" s="44">
        <f>SUBTOTAL(9,I9:I20)</f>
        <v>727184.88599999994</v>
      </c>
      <c r="J21" s="46">
        <f>K21/C6</f>
        <v>4.0918659999999996E-2</v>
      </c>
      <c r="K21" s="47">
        <f>SUBTOTAL(9,K9:K20)</f>
        <v>102296.65</v>
      </c>
      <c r="L21" s="45">
        <f>M21/C6</f>
        <v>0.33179261439999996</v>
      </c>
      <c r="M21" s="48">
        <f>SUBTOTAL(9,M9:M20)</f>
        <v>829481.53599999996</v>
      </c>
      <c r="N21" s="46">
        <f>O21/C6</f>
        <v>0.66820738559999993</v>
      </c>
      <c r="O21" s="49">
        <f>SUBTOTAL(9,O9:O20)</f>
        <v>1670518.4639999997</v>
      </c>
    </row>
    <row r="22" spans="1:15" ht="20.3" customHeight="1" thickBot="1" x14ac:dyDescent="0.3">
      <c r="A22" s="110" t="s">
        <v>10</v>
      </c>
      <c r="B22" s="111"/>
      <c r="C22" s="111"/>
      <c r="D22" s="111"/>
      <c r="E22" s="111"/>
      <c r="F22" s="111"/>
      <c r="G22" s="111"/>
      <c r="H22" s="111"/>
      <c r="I22" s="112"/>
      <c r="J22" s="100"/>
      <c r="K22" s="101"/>
      <c r="L22" s="101"/>
      <c r="M22" s="102"/>
      <c r="N22" s="5"/>
      <c r="O22" s="6"/>
    </row>
    <row r="23" spans="1:15" ht="20.95" customHeight="1" thickBot="1" x14ac:dyDescent="0.25">
      <c r="A23" s="37"/>
      <c r="B23" s="38"/>
      <c r="C23" s="38"/>
      <c r="D23" s="38"/>
      <c r="E23" s="38"/>
      <c r="F23" s="38"/>
      <c r="G23" s="90" t="s">
        <v>22</v>
      </c>
      <c r="H23" s="90"/>
      <c r="I23" s="91"/>
      <c r="J23" s="92">
        <f>K21</f>
        <v>102296.65</v>
      </c>
      <c r="K23" s="93"/>
      <c r="L23" s="93"/>
      <c r="M23" s="94"/>
      <c r="N23" s="13"/>
      <c r="O23" s="14"/>
    </row>
    <row r="24" spans="1:15" ht="29.3" customHeight="1" x14ac:dyDescent="0.2">
      <c r="A24" s="7"/>
      <c r="B24" s="95" t="s">
        <v>54</v>
      </c>
      <c r="C24" s="9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</row>
    <row r="25" spans="1:15" x14ac:dyDescent="0.2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</row>
    <row r="26" spans="1:15" ht="73" customHeight="1" thickBo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5" ht="8.1999999999999993" customHeight="1" thickBot="1" x14ac:dyDescent="0.25"/>
    <row r="28" spans="1:15" ht="17.7" x14ac:dyDescent="0.2">
      <c r="A28" s="96" t="s">
        <v>51</v>
      </c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9"/>
    </row>
    <row r="29" spans="1:15" ht="15.05" x14ac:dyDescent="0.2">
      <c r="A29" s="84" t="s">
        <v>25</v>
      </c>
      <c r="B29" s="85"/>
      <c r="C29" s="73">
        <f>G21</f>
        <v>2500000</v>
      </c>
      <c r="D29" s="86" t="s">
        <v>63</v>
      </c>
      <c r="E29" s="87"/>
      <c r="F29" s="30">
        <v>375000</v>
      </c>
      <c r="G29" s="29"/>
      <c r="H29" s="88"/>
      <c r="I29" s="89"/>
      <c r="J29" s="29" t="s">
        <v>47</v>
      </c>
      <c r="K29" s="30">
        <v>0</v>
      </c>
      <c r="L29" s="29" t="s">
        <v>48</v>
      </c>
      <c r="M29" s="30">
        <v>0</v>
      </c>
      <c r="N29" s="29" t="s">
        <v>49</v>
      </c>
      <c r="O29" s="32">
        <v>0</v>
      </c>
    </row>
    <row r="30" spans="1:15" ht="15.05" x14ac:dyDescent="0.2">
      <c r="A30" s="84" t="s">
        <v>50</v>
      </c>
      <c r="B30" s="85"/>
      <c r="C30" s="73">
        <f>M21</f>
        <v>829481.53599999996</v>
      </c>
      <c r="D30" s="86" t="s">
        <v>26</v>
      </c>
      <c r="E30" s="87"/>
      <c r="F30" s="30">
        <v>179552.04499999998</v>
      </c>
      <c r="G30" s="29" t="s">
        <v>27</v>
      </c>
      <c r="H30" s="88">
        <v>0</v>
      </c>
      <c r="I30" s="89"/>
      <c r="J30" s="29" t="s">
        <v>28</v>
      </c>
      <c r="K30" s="30">
        <v>0</v>
      </c>
      <c r="L30" s="29" t="s">
        <v>29</v>
      </c>
      <c r="M30" s="30">
        <v>0</v>
      </c>
      <c r="N30" s="29" t="s">
        <v>30</v>
      </c>
      <c r="O30" s="32">
        <v>0</v>
      </c>
    </row>
    <row r="31" spans="1:15" ht="15.05" x14ac:dyDescent="0.2">
      <c r="A31" s="84" t="s">
        <v>36</v>
      </c>
      <c r="B31" s="85"/>
      <c r="C31" s="73">
        <f>O21</f>
        <v>1670518.4639999997</v>
      </c>
      <c r="D31" s="86" t="s">
        <v>31</v>
      </c>
      <c r="E31" s="87"/>
      <c r="F31" s="30">
        <v>172632.84100000001</v>
      </c>
      <c r="G31" s="29" t="s">
        <v>32</v>
      </c>
      <c r="H31" s="88">
        <v>0</v>
      </c>
      <c r="I31" s="89"/>
      <c r="J31" s="29" t="s">
        <v>33</v>
      </c>
      <c r="K31" s="30">
        <v>0</v>
      </c>
      <c r="L31" s="29" t="s">
        <v>34</v>
      </c>
      <c r="M31" s="30">
        <v>0</v>
      </c>
      <c r="N31" s="29" t="s">
        <v>35</v>
      </c>
      <c r="O31" s="32">
        <v>0</v>
      </c>
    </row>
    <row r="32" spans="1:15" ht="15.05" x14ac:dyDescent="0.2">
      <c r="A32" s="84"/>
      <c r="B32" s="85"/>
      <c r="C32" s="31"/>
      <c r="D32" s="86" t="s">
        <v>37</v>
      </c>
      <c r="E32" s="87"/>
      <c r="F32" s="30">
        <f>K21</f>
        <v>102296.65</v>
      </c>
      <c r="G32" s="29" t="s">
        <v>38</v>
      </c>
      <c r="H32" s="88">
        <v>0</v>
      </c>
      <c r="I32" s="89"/>
      <c r="J32" s="29" t="s">
        <v>39</v>
      </c>
      <c r="K32" s="30">
        <v>0</v>
      </c>
      <c r="L32" s="29" t="s">
        <v>40</v>
      </c>
      <c r="M32" s="30">
        <v>0</v>
      </c>
      <c r="N32" s="29" t="s">
        <v>41</v>
      </c>
      <c r="O32" s="32">
        <v>0</v>
      </c>
    </row>
    <row r="33" spans="1:15" ht="15.05" x14ac:dyDescent="0.2">
      <c r="A33" s="84"/>
      <c r="B33" s="85"/>
      <c r="C33" s="31"/>
      <c r="D33" s="86" t="s">
        <v>42</v>
      </c>
      <c r="E33" s="87"/>
      <c r="F33" s="30">
        <v>0</v>
      </c>
      <c r="G33" s="29" t="s">
        <v>43</v>
      </c>
      <c r="H33" s="88">
        <v>0</v>
      </c>
      <c r="I33" s="89"/>
      <c r="J33" s="29" t="s">
        <v>44</v>
      </c>
      <c r="K33" s="30">
        <v>0</v>
      </c>
      <c r="L33" s="29" t="s">
        <v>45</v>
      </c>
      <c r="M33" s="30">
        <v>0</v>
      </c>
      <c r="N33" s="29" t="s">
        <v>46</v>
      </c>
      <c r="O33" s="32">
        <v>0</v>
      </c>
    </row>
    <row r="34" spans="1:15" ht="18.350000000000001" thickBot="1" x14ac:dyDescent="0.25">
      <c r="A34" s="25"/>
      <c r="B34" s="26"/>
      <c r="C34" s="26"/>
      <c r="D34" s="26"/>
      <c r="E34" s="26"/>
      <c r="F34" s="36"/>
      <c r="G34" s="36"/>
      <c r="H34" s="27"/>
      <c r="I34" s="35"/>
      <c r="J34" s="26"/>
      <c r="K34" s="26"/>
      <c r="L34" s="26"/>
      <c r="M34" s="26"/>
      <c r="N34" s="26"/>
      <c r="O34" s="28"/>
    </row>
    <row r="37" spans="1:15" x14ac:dyDescent="0.2">
      <c r="F37" s="59">
        <f>F32*0.7</f>
        <v>71607.654999999984</v>
      </c>
    </row>
    <row r="38" spans="1:15" x14ac:dyDescent="0.2">
      <c r="F38" s="59">
        <f>F32-F37</f>
        <v>30688.99500000001</v>
      </c>
    </row>
    <row r="39" spans="1:15" x14ac:dyDescent="0.2">
      <c r="F39" s="59">
        <f>F38*0.11</f>
        <v>3375.7894500000011</v>
      </c>
    </row>
  </sheetData>
  <mergeCells count="62"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B16:C16"/>
    <mergeCell ref="H7:I7"/>
    <mergeCell ref="J7:K7"/>
    <mergeCell ref="L7:M7"/>
    <mergeCell ref="N7:O7"/>
    <mergeCell ref="B9:C9"/>
    <mergeCell ref="B10:C10"/>
    <mergeCell ref="B11:C11"/>
    <mergeCell ref="B12:C12"/>
    <mergeCell ref="B13:C13"/>
    <mergeCell ref="B14:C14"/>
    <mergeCell ref="B15:C15"/>
    <mergeCell ref="A29:B29"/>
    <mergeCell ref="D29:E29"/>
    <mergeCell ref="H29:I29"/>
    <mergeCell ref="B17:C17"/>
    <mergeCell ref="B18:C18"/>
    <mergeCell ref="B19:C19"/>
    <mergeCell ref="B20:C20"/>
    <mergeCell ref="A21:F21"/>
    <mergeCell ref="A22:I22"/>
    <mergeCell ref="J22:M22"/>
    <mergeCell ref="G23:I23"/>
    <mergeCell ref="J23:M23"/>
    <mergeCell ref="B24:C24"/>
    <mergeCell ref="A28:O28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3381-E328-4D45-8C2C-79FC063DAEEC}">
  <dimension ref="A1:S39"/>
  <sheetViews>
    <sheetView showGridLines="0" topLeftCell="C16" zoomScale="70" zoomScaleNormal="70" zoomScaleSheetLayoutView="70" zoomScalePageLayoutView="50" workbookViewId="0">
      <selection activeCell="F39" sqref="F39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</cols>
  <sheetData>
    <row r="1" spans="1:19" ht="64.5" customHeight="1" thickBot="1" x14ac:dyDescent="0.25">
      <c r="A1" s="150" t="s">
        <v>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9" ht="20.149999999999999" customHeight="1" x14ac:dyDescent="0.2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</row>
    <row r="3" spans="1:19" ht="20.149999999999999" customHeight="1" x14ac:dyDescent="0.2">
      <c r="A3" s="156" t="s">
        <v>0</v>
      </c>
      <c r="B3" s="157"/>
      <c r="C3" s="158" t="s">
        <v>54</v>
      </c>
      <c r="D3" s="158"/>
      <c r="E3" s="158"/>
      <c r="F3" s="15" t="s">
        <v>1</v>
      </c>
      <c r="G3" s="159" t="s">
        <v>60</v>
      </c>
      <c r="H3" s="160"/>
      <c r="I3" s="160"/>
      <c r="J3" s="160"/>
      <c r="K3" s="160"/>
      <c r="L3" s="161"/>
      <c r="M3" s="21" t="s">
        <v>19</v>
      </c>
      <c r="N3" s="162"/>
      <c r="O3" s="147"/>
    </row>
    <row r="4" spans="1:19" ht="20.149999999999999" customHeight="1" x14ac:dyDescent="0.2">
      <c r="A4" s="142" t="s">
        <v>23</v>
      </c>
      <c r="B4" s="143"/>
      <c r="C4" s="144" t="s">
        <v>72</v>
      </c>
      <c r="D4" s="144"/>
      <c r="E4" s="144"/>
      <c r="F4" s="15"/>
      <c r="G4" s="145"/>
      <c r="H4" s="145"/>
      <c r="I4" s="145"/>
      <c r="J4" s="145"/>
      <c r="K4" s="145"/>
      <c r="L4" s="145"/>
      <c r="M4" s="21" t="s">
        <v>18</v>
      </c>
      <c r="N4" s="146">
        <v>0</v>
      </c>
      <c r="O4" s="147"/>
    </row>
    <row r="5" spans="1:19" ht="20.149999999999999" customHeight="1" x14ac:dyDescent="0.2">
      <c r="A5" s="142" t="s">
        <v>55</v>
      </c>
      <c r="B5" s="143"/>
      <c r="C5" s="144"/>
      <c r="D5" s="144"/>
      <c r="E5" s="144"/>
      <c r="F5" s="16" t="s">
        <v>12</v>
      </c>
      <c r="G5" s="148" t="s">
        <v>79</v>
      </c>
      <c r="H5" s="148"/>
      <c r="I5" s="148"/>
      <c r="J5" s="148"/>
      <c r="K5" s="148"/>
      <c r="L5" s="148"/>
      <c r="M5" s="21" t="s">
        <v>2</v>
      </c>
      <c r="N5" s="149">
        <v>46108</v>
      </c>
      <c r="O5" s="147"/>
    </row>
    <row r="6" spans="1:19" ht="20.149999999999999" customHeight="1" thickBot="1" x14ac:dyDescent="0.25">
      <c r="A6" s="113" t="s">
        <v>56</v>
      </c>
      <c r="B6" s="114"/>
      <c r="C6" s="115">
        <v>2500000</v>
      </c>
      <c r="D6" s="116"/>
      <c r="E6" s="116"/>
      <c r="F6" s="17" t="s">
        <v>24</v>
      </c>
      <c r="G6" s="117" t="s">
        <v>80</v>
      </c>
      <c r="H6" s="118"/>
      <c r="I6" s="118"/>
      <c r="J6" s="118"/>
      <c r="K6" s="118"/>
      <c r="L6" s="119"/>
      <c r="M6" s="22" t="s">
        <v>13</v>
      </c>
      <c r="N6" s="120" t="s">
        <v>61</v>
      </c>
      <c r="O6" s="121"/>
    </row>
    <row r="7" spans="1:19" s="1" customFormat="1" ht="24.05" customHeight="1" x14ac:dyDescent="0.25">
      <c r="A7" s="122" t="s">
        <v>5</v>
      </c>
      <c r="B7" s="124" t="s">
        <v>6</v>
      </c>
      <c r="C7" s="125"/>
      <c r="D7" s="128" t="s">
        <v>7</v>
      </c>
      <c r="E7" s="130" t="s">
        <v>8</v>
      </c>
      <c r="F7" s="128" t="s">
        <v>20</v>
      </c>
      <c r="G7" s="132" t="s">
        <v>21</v>
      </c>
      <c r="H7" s="134" t="s">
        <v>14</v>
      </c>
      <c r="I7" s="135"/>
      <c r="J7" s="136" t="s">
        <v>15</v>
      </c>
      <c r="K7" s="136"/>
      <c r="L7" s="137" t="s">
        <v>17</v>
      </c>
      <c r="M7" s="138"/>
      <c r="N7" s="139" t="s">
        <v>4</v>
      </c>
      <c r="O7" s="138"/>
    </row>
    <row r="8" spans="1:19" s="1" customFormat="1" ht="15.05" customHeight="1" thickBot="1" x14ac:dyDescent="0.3">
      <c r="A8" s="123"/>
      <c r="B8" s="126"/>
      <c r="C8" s="127"/>
      <c r="D8" s="129"/>
      <c r="E8" s="131"/>
      <c r="F8" s="129"/>
      <c r="G8" s="133"/>
      <c r="H8" s="76" t="s">
        <v>7</v>
      </c>
      <c r="I8" s="39" t="s">
        <v>9</v>
      </c>
      <c r="J8" s="40" t="s">
        <v>7</v>
      </c>
      <c r="K8" s="41" t="s">
        <v>3</v>
      </c>
      <c r="L8" s="76" t="s">
        <v>7</v>
      </c>
      <c r="M8" s="39" t="s">
        <v>3</v>
      </c>
      <c r="N8" s="42" t="s">
        <v>7</v>
      </c>
      <c r="O8" s="43" t="s">
        <v>9</v>
      </c>
    </row>
    <row r="9" spans="1:19" s="3" customFormat="1" ht="20" customHeight="1" x14ac:dyDescent="0.2">
      <c r="A9" s="61">
        <v>0</v>
      </c>
      <c r="B9" s="140" t="s">
        <v>58</v>
      </c>
      <c r="C9" s="141"/>
      <c r="D9" s="62">
        <v>1</v>
      </c>
      <c r="E9" s="63" t="s">
        <v>52</v>
      </c>
      <c r="F9" s="64">
        <f>C6*0.15</f>
        <v>375000</v>
      </c>
      <c r="G9" s="64">
        <f t="shared" ref="G9:G20" si="0">F9*D9</f>
        <v>375000</v>
      </c>
      <c r="H9" s="65">
        <v>1</v>
      </c>
      <c r="I9" s="66">
        <f t="shared" ref="I9:I20" si="1">H9*G9</f>
        <v>375000</v>
      </c>
      <c r="J9" s="67"/>
      <c r="K9" s="68">
        <f>J9*F9*D9</f>
        <v>0</v>
      </c>
      <c r="L9" s="65">
        <f t="shared" ref="L9:M20" si="2">J9+H9</f>
        <v>1</v>
      </c>
      <c r="M9" s="66">
        <f t="shared" si="2"/>
        <v>375000</v>
      </c>
      <c r="N9" s="67">
        <f t="shared" ref="N9:N18" si="3">D9/D9-L9</f>
        <v>0</v>
      </c>
      <c r="O9" s="69">
        <f t="shared" ref="O9:O18" si="4">N9*G9</f>
        <v>0</v>
      </c>
    </row>
    <row r="10" spans="1:19" s="3" customFormat="1" ht="20" customHeight="1" x14ac:dyDescent="0.2">
      <c r="A10" s="60">
        <v>1</v>
      </c>
      <c r="B10" s="103" t="s">
        <v>53</v>
      </c>
      <c r="C10" s="104"/>
      <c r="D10" s="23">
        <v>1</v>
      </c>
      <c r="E10" s="24" t="s">
        <v>52</v>
      </c>
      <c r="F10" s="20">
        <v>123250</v>
      </c>
      <c r="G10" s="20">
        <f t="shared" si="0"/>
        <v>123250</v>
      </c>
      <c r="H10" s="33">
        <v>0.46</v>
      </c>
      <c r="I10" s="18">
        <f t="shared" si="1"/>
        <v>56695</v>
      </c>
      <c r="J10" s="34">
        <v>0.14279999999999998</v>
      </c>
      <c r="K10" s="19">
        <f>J10*F10*D10</f>
        <v>17600.099999999999</v>
      </c>
      <c r="L10" s="33">
        <f t="shared" si="2"/>
        <v>0.6028</v>
      </c>
      <c r="M10" s="18">
        <f t="shared" si="2"/>
        <v>74295.100000000006</v>
      </c>
      <c r="N10" s="34">
        <f t="shared" si="3"/>
        <v>0.3972</v>
      </c>
      <c r="O10" s="50">
        <f t="shared" si="4"/>
        <v>48954.9</v>
      </c>
      <c r="S10" s="77"/>
    </row>
    <row r="11" spans="1:19" s="3" customFormat="1" ht="20" customHeight="1" x14ac:dyDescent="0.2">
      <c r="A11" s="60">
        <v>2</v>
      </c>
      <c r="B11" s="103" t="s">
        <v>70</v>
      </c>
      <c r="C11" s="104"/>
      <c r="D11" s="23">
        <v>1</v>
      </c>
      <c r="E11" s="24" t="s">
        <v>52</v>
      </c>
      <c r="F11" s="20">
        <v>335724.5</v>
      </c>
      <c r="G11" s="20">
        <f t="shared" si="0"/>
        <v>335724.5</v>
      </c>
      <c r="H11" s="33">
        <v>0.76</v>
      </c>
      <c r="I11" s="18">
        <f t="shared" si="1"/>
        <v>255150.62</v>
      </c>
      <c r="J11" s="34"/>
      <c r="K11" s="19">
        <f>J11*F11*D11</f>
        <v>0</v>
      </c>
      <c r="L11" s="33">
        <f t="shared" si="2"/>
        <v>0.76</v>
      </c>
      <c r="M11" s="18">
        <f>K11+I11</f>
        <v>255150.62</v>
      </c>
      <c r="N11" s="34">
        <f>D11/D11-L11</f>
        <v>0.24</v>
      </c>
      <c r="O11" s="50">
        <f>N11*G11</f>
        <v>80573.87999999999</v>
      </c>
      <c r="S11" s="77"/>
    </row>
    <row r="12" spans="1:19" s="3" customFormat="1" ht="20" customHeight="1" x14ac:dyDescent="0.2">
      <c r="A12" s="60">
        <v>3</v>
      </c>
      <c r="B12" s="103" t="s">
        <v>71</v>
      </c>
      <c r="C12" s="104"/>
      <c r="D12" s="23">
        <v>1</v>
      </c>
      <c r="E12" s="24" t="s">
        <v>52</v>
      </c>
      <c r="F12" s="20">
        <v>335724.5</v>
      </c>
      <c r="G12" s="20">
        <f t="shared" si="0"/>
        <v>335724.5</v>
      </c>
      <c r="H12" s="33">
        <v>0.09</v>
      </c>
      <c r="I12" s="18">
        <f t="shared" si="1"/>
        <v>30215.204999999998</v>
      </c>
      <c r="J12" s="34">
        <v>0.24299999999999997</v>
      </c>
      <c r="K12" s="19">
        <f>J12*F12*D12</f>
        <v>81581.053499999995</v>
      </c>
      <c r="L12" s="33">
        <f t="shared" si="2"/>
        <v>0.33299999999999996</v>
      </c>
      <c r="M12" s="18">
        <f>K12+I12</f>
        <v>111796.2585</v>
      </c>
      <c r="N12" s="34">
        <f>D12/D12-L12</f>
        <v>0.66700000000000004</v>
      </c>
      <c r="O12" s="50">
        <f>N12*G12</f>
        <v>223928.2415</v>
      </c>
      <c r="S12" s="77"/>
    </row>
    <row r="13" spans="1:19" s="3" customFormat="1" ht="20" customHeight="1" x14ac:dyDescent="0.2">
      <c r="A13" s="60">
        <v>4</v>
      </c>
      <c r="B13" s="103" t="s">
        <v>64</v>
      </c>
      <c r="C13" s="104"/>
      <c r="D13" s="23">
        <v>1</v>
      </c>
      <c r="E13" s="24" t="s">
        <v>52</v>
      </c>
      <c r="F13" s="20">
        <v>283379.8</v>
      </c>
      <c r="G13" s="20">
        <f t="shared" si="0"/>
        <v>283379.8</v>
      </c>
      <c r="H13" s="33">
        <v>0.13999999999999999</v>
      </c>
      <c r="I13" s="18">
        <f t="shared" si="1"/>
        <v>39673.171999999991</v>
      </c>
      <c r="J13" s="34">
        <v>6.5599999999999992E-2</v>
      </c>
      <c r="K13" s="19">
        <f t="shared" ref="K13:K18" si="5">J13*F13*D13</f>
        <v>18589.714879999996</v>
      </c>
      <c r="L13" s="33">
        <f t="shared" si="2"/>
        <v>0.20559999999999998</v>
      </c>
      <c r="M13" s="18">
        <f t="shared" si="2"/>
        <v>58262.886879999991</v>
      </c>
      <c r="N13" s="34">
        <f t="shared" si="3"/>
        <v>0.7944</v>
      </c>
      <c r="O13" s="50">
        <f t="shared" si="4"/>
        <v>225116.91311999998</v>
      </c>
      <c r="S13" s="77"/>
    </row>
    <row r="14" spans="1:19" s="3" customFormat="1" ht="20" customHeight="1" x14ac:dyDescent="0.2">
      <c r="A14" s="60">
        <v>5</v>
      </c>
      <c r="B14" s="103" t="s">
        <v>65</v>
      </c>
      <c r="C14" s="104"/>
      <c r="D14" s="23">
        <v>1</v>
      </c>
      <c r="E14" s="24" t="s">
        <v>52</v>
      </c>
      <c r="F14" s="20">
        <v>163136.25</v>
      </c>
      <c r="G14" s="20">
        <f t="shared" si="0"/>
        <v>163136.25</v>
      </c>
      <c r="H14" s="33">
        <v>0.06</v>
      </c>
      <c r="I14" s="18">
        <f t="shared" si="1"/>
        <v>9788.1749999999993</v>
      </c>
      <c r="J14" s="34">
        <v>6.2899999999999998E-2</v>
      </c>
      <c r="K14" s="19">
        <f t="shared" si="5"/>
        <v>10261.270124999999</v>
      </c>
      <c r="L14" s="33">
        <f t="shared" si="2"/>
        <v>0.1229</v>
      </c>
      <c r="M14" s="18">
        <f t="shared" si="2"/>
        <v>20049.445124999998</v>
      </c>
      <c r="N14" s="34">
        <f t="shared" si="3"/>
        <v>0.87709999999999999</v>
      </c>
      <c r="O14" s="50">
        <f t="shared" si="4"/>
        <v>143086.804875</v>
      </c>
      <c r="S14" s="77"/>
    </row>
    <row r="15" spans="1:19" s="3" customFormat="1" ht="20" customHeight="1" x14ac:dyDescent="0.2">
      <c r="A15" s="60">
        <v>6</v>
      </c>
      <c r="B15" s="103" t="s">
        <v>66</v>
      </c>
      <c r="C15" s="104"/>
      <c r="D15" s="23">
        <v>1</v>
      </c>
      <c r="E15" s="24" t="s">
        <v>52</v>
      </c>
      <c r="F15" s="20">
        <v>354881.8</v>
      </c>
      <c r="G15" s="20">
        <f t="shared" si="0"/>
        <v>354881.8</v>
      </c>
      <c r="H15" s="33">
        <v>0.03</v>
      </c>
      <c r="I15" s="18">
        <f t="shared" si="1"/>
        <v>10646.454</v>
      </c>
      <c r="J15" s="34">
        <v>6.2399999999999997E-2</v>
      </c>
      <c r="K15" s="19">
        <f t="shared" si="5"/>
        <v>22144.624319999999</v>
      </c>
      <c r="L15" s="33">
        <f t="shared" si="2"/>
        <v>9.2399999999999996E-2</v>
      </c>
      <c r="M15" s="18">
        <f t="shared" si="2"/>
        <v>32791.078320000001</v>
      </c>
      <c r="N15" s="34">
        <f t="shared" si="3"/>
        <v>0.90759999999999996</v>
      </c>
      <c r="O15" s="50">
        <f t="shared" si="4"/>
        <v>322090.72167999996</v>
      </c>
      <c r="S15" s="77"/>
    </row>
    <row r="16" spans="1:19" s="3" customFormat="1" ht="20" customHeight="1" x14ac:dyDescent="0.2">
      <c r="A16" s="60">
        <v>7</v>
      </c>
      <c r="B16" s="103" t="s">
        <v>67</v>
      </c>
      <c r="C16" s="104"/>
      <c r="D16" s="23">
        <v>1</v>
      </c>
      <c r="E16" s="24" t="s">
        <v>52</v>
      </c>
      <c r="F16" s="20">
        <v>80580</v>
      </c>
      <c r="G16" s="20">
        <f t="shared" si="0"/>
        <v>80580</v>
      </c>
      <c r="H16" s="33">
        <v>0.24000000000000002</v>
      </c>
      <c r="I16" s="18">
        <f t="shared" si="1"/>
        <v>19339.2</v>
      </c>
      <c r="J16" s="34">
        <v>7.1999999999999981E-2</v>
      </c>
      <c r="K16" s="19">
        <f t="shared" si="5"/>
        <v>5801.7599999999984</v>
      </c>
      <c r="L16" s="33">
        <f t="shared" si="2"/>
        <v>0.312</v>
      </c>
      <c r="M16" s="18">
        <f t="shared" si="2"/>
        <v>25140.959999999999</v>
      </c>
      <c r="N16" s="34">
        <f t="shared" si="3"/>
        <v>0.68799999999999994</v>
      </c>
      <c r="O16" s="50">
        <f t="shared" si="4"/>
        <v>55439.039999999994</v>
      </c>
      <c r="S16" s="77"/>
    </row>
    <row r="17" spans="1:19" s="3" customFormat="1" ht="20" customHeight="1" x14ac:dyDescent="0.2">
      <c r="A17" s="60">
        <v>8</v>
      </c>
      <c r="B17" s="103" t="s">
        <v>68</v>
      </c>
      <c r="C17" s="104"/>
      <c r="D17" s="23">
        <v>1</v>
      </c>
      <c r="E17" s="24" t="s">
        <v>52</v>
      </c>
      <c r="F17" s="20">
        <v>143573.5</v>
      </c>
      <c r="G17" s="20">
        <f t="shared" si="0"/>
        <v>143573.5</v>
      </c>
      <c r="H17" s="33">
        <v>0.13500000000000001</v>
      </c>
      <c r="I17" s="18">
        <f t="shared" si="1"/>
        <v>19382.422500000001</v>
      </c>
      <c r="J17" s="34">
        <v>0.18329999999999996</v>
      </c>
      <c r="K17" s="19">
        <f t="shared" si="5"/>
        <v>26317.022549999994</v>
      </c>
      <c r="L17" s="33">
        <f t="shared" si="2"/>
        <v>0.31829999999999997</v>
      </c>
      <c r="M17" s="18">
        <f t="shared" si="2"/>
        <v>45699.445049999995</v>
      </c>
      <c r="N17" s="34">
        <f t="shared" si="3"/>
        <v>0.68169999999999997</v>
      </c>
      <c r="O17" s="50">
        <f t="shared" si="4"/>
        <v>97874.054949999991</v>
      </c>
      <c r="S17" s="77"/>
    </row>
    <row r="18" spans="1:19" s="3" customFormat="1" ht="20" customHeight="1" x14ac:dyDescent="0.2">
      <c r="A18" s="60">
        <v>9</v>
      </c>
      <c r="B18" s="103" t="s">
        <v>74</v>
      </c>
      <c r="C18" s="104"/>
      <c r="D18" s="23">
        <v>1</v>
      </c>
      <c r="E18" s="24" t="s">
        <v>52</v>
      </c>
      <c r="F18" s="20">
        <v>112514.5</v>
      </c>
      <c r="G18" s="20">
        <f t="shared" si="0"/>
        <v>112514.5</v>
      </c>
      <c r="H18" s="33">
        <v>1.4999999999999999E-2</v>
      </c>
      <c r="I18" s="18">
        <f t="shared" si="1"/>
        <v>1687.7175</v>
      </c>
      <c r="J18" s="34">
        <v>7.6499999999999999E-2</v>
      </c>
      <c r="K18" s="19">
        <f t="shared" si="5"/>
        <v>8607.3592499999995</v>
      </c>
      <c r="L18" s="33">
        <f t="shared" si="2"/>
        <v>9.1499999999999998E-2</v>
      </c>
      <c r="M18" s="18">
        <f t="shared" si="2"/>
        <v>10295.07675</v>
      </c>
      <c r="N18" s="34">
        <f t="shared" si="3"/>
        <v>0.90849999999999997</v>
      </c>
      <c r="O18" s="50">
        <f t="shared" si="4"/>
        <v>102219.42324999999</v>
      </c>
      <c r="S18" s="77"/>
    </row>
    <row r="19" spans="1:19" s="3" customFormat="1" ht="20" customHeight="1" x14ac:dyDescent="0.2">
      <c r="A19" s="60">
        <v>10</v>
      </c>
      <c r="B19" s="103" t="s">
        <v>69</v>
      </c>
      <c r="C19" s="104"/>
      <c r="D19" s="23">
        <v>1</v>
      </c>
      <c r="E19" s="24" t="s">
        <v>52</v>
      </c>
      <c r="F19" s="20">
        <v>170051</v>
      </c>
      <c r="G19" s="20">
        <f t="shared" si="0"/>
        <v>170051</v>
      </c>
      <c r="H19" s="33">
        <v>7.0000000000000007E-2</v>
      </c>
      <c r="I19" s="18">
        <f t="shared" si="1"/>
        <v>11903.570000000002</v>
      </c>
      <c r="J19" s="34">
        <v>0.16989999999999997</v>
      </c>
      <c r="K19" s="19">
        <f>J19*F19*D19</f>
        <v>28891.664899999996</v>
      </c>
      <c r="L19" s="33">
        <f t="shared" si="2"/>
        <v>0.23989999999999997</v>
      </c>
      <c r="M19" s="18">
        <f>K19+I19</f>
        <v>40795.234899999996</v>
      </c>
      <c r="N19" s="34">
        <f>D19/D19-L19</f>
        <v>0.7601</v>
      </c>
      <c r="O19" s="50">
        <f>N19*G19</f>
        <v>129255.7651</v>
      </c>
      <c r="S19" s="77"/>
    </row>
    <row r="20" spans="1:19" s="3" customFormat="1" ht="20" customHeight="1" thickBot="1" x14ac:dyDescent="0.25">
      <c r="A20" s="70">
        <v>11</v>
      </c>
      <c r="B20" s="105" t="s">
        <v>73</v>
      </c>
      <c r="C20" s="106"/>
      <c r="D20" s="51">
        <v>1</v>
      </c>
      <c r="E20" s="52" t="s">
        <v>52</v>
      </c>
      <c r="F20" s="53">
        <v>22184.149999999998</v>
      </c>
      <c r="G20" s="53">
        <f t="shared" si="0"/>
        <v>22184.149999999998</v>
      </c>
      <c r="H20" s="54">
        <v>0</v>
      </c>
      <c r="I20" s="55">
        <f t="shared" si="1"/>
        <v>0</v>
      </c>
      <c r="J20" s="56"/>
      <c r="K20" s="57">
        <f>J20*F20*D20</f>
        <v>0</v>
      </c>
      <c r="L20" s="54">
        <f t="shared" si="2"/>
        <v>0</v>
      </c>
      <c r="M20" s="55">
        <f t="shared" si="2"/>
        <v>0</v>
      </c>
      <c r="N20" s="56">
        <f t="shared" ref="N20" si="6">D20/D20-L20</f>
        <v>1</v>
      </c>
      <c r="O20" s="58">
        <f t="shared" ref="O20" si="7">N20*G20</f>
        <v>22184.149999999998</v>
      </c>
      <c r="S20" s="77"/>
    </row>
    <row r="21" spans="1:19" s="2" customFormat="1" ht="20.149999999999999" customHeight="1" thickBot="1" x14ac:dyDescent="0.3">
      <c r="A21" s="107" t="s">
        <v>16</v>
      </c>
      <c r="B21" s="108"/>
      <c r="C21" s="108"/>
      <c r="D21" s="108"/>
      <c r="E21" s="108"/>
      <c r="F21" s="109"/>
      <c r="G21" s="44">
        <f>SUBTOTAL(9,G9:G20)</f>
        <v>2500000</v>
      </c>
      <c r="H21" s="45">
        <f>I21/C6</f>
        <v>0.33179261439999996</v>
      </c>
      <c r="I21" s="44">
        <f>SUBTOTAL(9,I9:I20)</f>
        <v>829481.53599999996</v>
      </c>
      <c r="J21" s="46">
        <f>K21/C6</f>
        <v>8.7917827810000002E-2</v>
      </c>
      <c r="K21" s="47">
        <f>SUBTOTAL(9,K9:K20)</f>
        <v>219794.569525</v>
      </c>
      <c r="L21" s="45">
        <f>M21/C6</f>
        <v>0.41971044220999992</v>
      </c>
      <c r="M21" s="48">
        <f>SUBTOTAL(9,M9:M20)</f>
        <v>1049276.1055249998</v>
      </c>
      <c r="N21" s="46">
        <f>O21/C6</f>
        <v>0.58028955778999991</v>
      </c>
      <c r="O21" s="49">
        <f>SUBTOTAL(9,O9:O20)</f>
        <v>1450723.8944749997</v>
      </c>
      <c r="S21" s="77"/>
    </row>
    <row r="22" spans="1:19" ht="20.3" customHeight="1" thickBot="1" x14ac:dyDescent="0.3">
      <c r="A22" s="110" t="s">
        <v>10</v>
      </c>
      <c r="B22" s="111"/>
      <c r="C22" s="111"/>
      <c r="D22" s="111"/>
      <c r="E22" s="111"/>
      <c r="F22" s="111"/>
      <c r="G22" s="111"/>
      <c r="H22" s="111"/>
      <c r="I22" s="112"/>
      <c r="J22" s="100"/>
      <c r="K22" s="101"/>
      <c r="L22" s="101"/>
      <c r="M22" s="102"/>
      <c r="N22" s="5"/>
      <c r="O22" s="6"/>
    </row>
    <row r="23" spans="1:19" ht="20.95" customHeight="1" thickBot="1" x14ac:dyDescent="0.25">
      <c r="A23" s="37"/>
      <c r="B23" s="38"/>
      <c r="C23" s="38"/>
      <c r="D23" s="38"/>
      <c r="E23" s="38"/>
      <c r="F23" s="38"/>
      <c r="G23" s="90" t="s">
        <v>22</v>
      </c>
      <c r="H23" s="90"/>
      <c r="I23" s="91"/>
      <c r="J23" s="92">
        <f>K21</f>
        <v>219794.569525</v>
      </c>
      <c r="K23" s="93"/>
      <c r="L23" s="93"/>
      <c r="M23" s="94"/>
      <c r="N23" s="13"/>
      <c r="O23" s="14"/>
    </row>
    <row r="24" spans="1:19" ht="29.3" customHeight="1" x14ac:dyDescent="0.2">
      <c r="A24" s="7"/>
      <c r="B24" s="95" t="s">
        <v>54</v>
      </c>
      <c r="C24" s="9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</row>
    <row r="25" spans="1:19" x14ac:dyDescent="0.2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</row>
    <row r="26" spans="1:19" ht="73" customHeight="1" thickBo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9" ht="8.1999999999999993" customHeight="1" thickBot="1" x14ac:dyDescent="0.25"/>
    <row r="28" spans="1:19" ht="17.7" x14ac:dyDescent="0.2">
      <c r="A28" s="96" t="s">
        <v>51</v>
      </c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9"/>
    </row>
    <row r="29" spans="1:19" ht="15.05" x14ac:dyDescent="0.2">
      <c r="A29" s="84" t="s">
        <v>25</v>
      </c>
      <c r="B29" s="85"/>
      <c r="C29" s="75">
        <f>G21</f>
        <v>2500000</v>
      </c>
      <c r="D29" s="86" t="s">
        <v>63</v>
      </c>
      <c r="E29" s="87"/>
      <c r="F29" s="30">
        <v>375000</v>
      </c>
      <c r="G29" s="29"/>
      <c r="H29" s="88"/>
      <c r="I29" s="89"/>
      <c r="J29" s="29" t="s">
        <v>47</v>
      </c>
      <c r="K29" s="30">
        <v>0</v>
      </c>
      <c r="L29" s="29" t="s">
        <v>48</v>
      </c>
      <c r="M29" s="30">
        <v>0</v>
      </c>
      <c r="N29" s="29" t="s">
        <v>49</v>
      </c>
      <c r="O29" s="32">
        <v>0</v>
      </c>
    </row>
    <row r="30" spans="1:19" ht="15.05" x14ac:dyDescent="0.2">
      <c r="A30" s="84" t="s">
        <v>50</v>
      </c>
      <c r="B30" s="85"/>
      <c r="C30" s="75">
        <f>M21</f>
        <v>1049276.1055249998</v>
      </c>
      <c r="D30" s="86" t="s">
        <v>26</v>
      </c>
      <c r="E30" s="87"/>
      <c r="F30" s="30">
        <v>179552.04499999998</v>
      </c>
      <c r="G30" s="29" t="s">
        <v>27</v>
      </c>
      <c r="H30" s="88">
        <v>0</v>
      </c>
      <c r="I30" s="89"/>
      <c r="J30" s="29" t="s">
        <v>28</v>
      </c>
      <c r="K30" s="30">
        <v>0</v>
      </c>
      <c r="L30" s="29" t="s">
        <v>29</v>
      </c>
      <c r="M30" s="30">
        <v>0</v>
      </c>
      <c r="N30" s="29" t="s">
        <v>30</v>
      </c>
      <c r="O30" s="32">
        <v>0</v>
      </c>
    </row>
    <row r="31" spans="1:19" ht="15.05" x14ac:dyDescent="0.2">
      <c r="A31" s="84" t="s">
        <v>36</v>
      </c>
      <c r="B31" s="85"/>
      <c r="C31" s="75">
        <f>O21</f>
        <v>1450723.8944749997</v>
      </c>
      <c r="D31" s="86" t="s">
        <v>31</v>
      </c>
      <c r="E31" s="87"/>
      <c r="F31" s="30">
        <v>172632.84100000001</v>
      </c>
      <c r="G31" s="29" t="s">
        <v>32</v>
      </c>
      <c r="H31" s="88">
        <v>0</v>
      </c>
      <c r="I31" s="89"/>
      <c r="J31" s="29" t="s">
        <v>33</v>
      </c>
      <c r="K31" s="30">
        <v>0</v>
      </c>
      <c r="L31" s="29" t="s">
        <v>34</v>
      </c>
      <c r="M31" s="30">
        <v>0</v>
      </c>
      <c r="N31" s="29" t="s">
        <v>35</v>
      </c>
      <c r="O31" s="32">
        <v>0</v>
      </c>
    </row>
    <row r="32" spans="1:19" ht="15.05" x14ac:dyDescent="0.2">
      <c r="A32" s="84"/>
      <c r="B32" s="85"/>
      <c r="C32" s="31"/>
      <c r="D32" s="86" t="s">
        <v>37</v>
      </c>
      <c r="E32" s="87"/>
      <c r="F32" s="30">
        <v>102296.65</v>
      </c>
      <c r="G32" s="29" t="s">
        <v>38</v>
      </c>
      <c r="H32" s="88">
        <v>0</v>
      </c>
      <c r="I32" s="89"/>
      <c r="J32" s="29" t="s">
        <v>39</v>
      </c>
      <c r="K32" s="30">
        <v>0</v>
      </c>
      <c r="L32" s="29" t="s">
        <v>40</v>
      </c>
      <c r="M32" s="30">
        <v>0</v>
      </c>
      <c r="N32" s="29" t="s">
        <v>41</v>
      </c>
      <c r="O32" s="32">
        <v>0</v>
      </c>
    </row>
    <row r="33" spans="1:15" ht="15.05" x14ac:dyDescent="0.2">
      <c r="A33" s="84"/>
      <c r="B33" s="85"/>
      <c r="C33" s="31"/>
      <c r="D33" s="86" t="s">
        <v>42</v>
      </c>
      <c r="E33" s="87"/>
      <c r="F33" s="30">
        <f>K21</f>
        <v>219794.569525</v>
      </c>
      <c r="G33" s="29" t="s">
        <v>43</v>
      </c>
      <c r="H33" s="88">
        <v>0</v>
      </c>
      <c r="I33" s="89"/>
      <c r="J33" s="29" t="s">
        <v>44</v>
      </c>
      <c r="K33" s="30">
        <v>0</v>
      </c>
      <c r="L33" s="29" t="s">
        <v>45</v>
      </c>
      <c r="M33" s="30">
        <v>0</v>
      </c>
      <c r="N33" s="29" t="s">
        <v>46</v>
      </c>
      <c r="O33" s="32">
        <v>0</v>
      </c>
    </row>
    <row r="34" spans="1:15" ht="18.350000000000001" thickBot="1" x14ac:dyDescent="0.25">
      <c r="A34" s="25"/>
      <c r="B34" s="26"/>
      <c r="C34" s="26"/>
      <c r="D34" s="26"/>
      <c r="E34" s="26"/>
      <c r="F34" s="36"/>
      <c r="G34" s="36"/>
      <c r="H34" s="27"/>
      <c r="I34" s="35"/>
      <c r="J34" s="26"/>
      <c r="K34" s="26"/>
      <c r="L34" s="26"/>
      <c r="M34" s="26"/>
      <c r="N34" s="26"/>
      <c r="O34" s="28"/>
    </row>
    <row r="37" spans="1:15" x14ac:dyDescent="0.2">
      <c r="F37" s="59">
        <f>F33*0.7</f>
        <v>153856.19866749999</v>
      </c>
    </row>
    <row r="38" spans="1:15" x14ac:dyDescent="0.2">
      <c r="F38" s="59">
        <f>F33-F37</f>
        <v>65938.370857500006</v>
      </c>
    </row>
    <row r="39" spans="1:15" x14ac:dyDescent="0.2">
      <c r="F39" s="59">
        <f>F38*0.11</f>
        <v>7253.2207943250005</v>
      </c>
    </row>
  </sheetData>
  <mergeCells count="62"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B16:C16"/>
    <mergeCell ref="H7:I7"/>
    <mergeCell ref="J7:K7"/>
    <mergeCell ref="L7:M7"/>
    <mergeCell ref="N7:O7"/>
    <mergeCell ref="B9:C9"/>
    <mergeCell ref="B10:C10"/>
    <mergeCell ref="B11:C11"/>
    <mergeCell ref="B12:C12"/>
    <mergeCell ref="B13:C13"/>
    <mergeCell ref="B14:C14"/>
    <mergeCell ref="B15:C15"/>
    <mergeCell ref="A29:B29"/>
    <mergeCell ref="D29:E29"/>
    <mergeCell ref="H29:I29"/>
    <mergeCell ref="B17:C17"/>
    <mergeCell ref="B18:C18"/>
    <mergeCell ref="B19:C19"/>
    <mergeCell ref="B20:C20"/>
    <mergeCell ref="A21:F21"/>
    <mergeCell ref="A22:I22"/>
    <mergeCell ref="J22:M22"/>
    <mergeCell ref="G23:I23"/>
    <mergeCell ref="J23:M23"/>
    <mergeCell ref="B24:C24"/>
    <mergeCell ref="A28:O28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1631-4F95-495F-917D-11740E1BC3D2}">
  <dimension ref="A1:S39"/>
  <sheetViews>
    <sheetView showGridLines="0" topLeftCell="A7" zoomScale="70" zoomScaleNormal="70" zoomScaleSheetLayoutView="70" zoomScalePageLayoutView="50" workbookViewId="0">
      <selection activeCell="H29" sqref="H29:I29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</cols>
  <sheetData>
    <row r="1" spans="1:19" ht="64.5" customHeight="1" thickBot="1" x14ac:dyDescent="0.25">
      <c r="A1" s="150" t="s">
        <v>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9" ht="20.149999999999999" customHeight="1" x14ac:dyDescent="0.2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</row>
    <row r="3" spans="1:19" ht="20.149999999999999" customHeight="1" x14ac:dyDescent="0.2">
      <c r="A3" s="156" t="s">
        <v>0</v>
      </c>
      <c r="B3" s="157"/>
      <c r="C3" s="158" t="s">
        <v>54</v>
      </c>
      <c r="D3" s="158"/>
      <c r="E3" s="158"/>
      <c r="F3" s="15" t="s">
        <v>1</v>
      </c>
      <c r="G3" s="159" t="s">
        <v>60</v>
      </c>
      <c r="H3" s="160"/>
      <c r="I3" s="160"/>
      <c r="J3" s="160"/>
      <c r="K3" s="160"/>
      <c r="L3" s="161"/>
      <c r="M3" s="21" t="s">
        <v>19</v>
      </c>
      <c r="N3" s="162"/>
      <c r="O3" s="147"/>
    </row>
    <row r="4" spans="1:19" ht="20.149999999999999" customHeight="1" x14ac:dyDescent="0.2">
      <c r="A4" s="142" t="s">
        <v>23</v>
      </c>
      <c r="B4" s="143"/>
      <c r="C4" s="144" t="s">
        <v>72</v>
      </c>
      <c r="D4" s="144"/>
      <c r="E4" s="144"/>
      <c r="F4" s="15"/>
      <c r="G4" s="145"/>
      <c r="H4" s="145"/>
      <c r="I4" s="145"/>
      <c r="J4" s="145"/>
      <c r="K4" s="145"/>
      <c r="L4" s="145"/>
      <c r="M4" s="21" t="s">
        <v>18</v>
      </c>
      <c r="N4" s="146">
        <v>0</v>
      </c>
      <c r="O4" s="147"/>
    </row>
    <row r="5" spans="1:19" ht="20.149999999999999" customHeight="1" x14ac:dyDescent="0.2">
      <c r="A5" s="142" t="s">
        <v>55</v>
      </c>
      <c r="B5" s="143"/>
      <c r="C5" s="144"/>
      <c r="D5" s="144"/>
      <c r="E5" s="144"/>
      <c r="F5" s="16" t="s">
        <v>12</v>
      </c>
      <c r="G5" s="148" t="s">
        <v>82</v>
      </c>
      <c r="H5" s="148"/>
      <c r="I5" s="148"/>
      <c r="J5" s="148"/>
      <c r="K5" s="148"/>
      <c r="L5" s="148"/>
      <c r="M5" s="21" t="s">
        <v>2</v>
      </c>
      <c r="N5" s="149">
        <v>46146</v>
      </c>
      <c r="O5" s="147"/>
    </row>
    <row r="6" spans="1:19" ht="20.149999999999999" customHeight="1" thickBot="1" x14ac:dyDescent="0.25">
      <c r="A6" s="113" t="s">
        <v>56</v>
      </c>
      <c r="B6" s="114"/>
      <c r="C6" s="115">
        <v>2500000</v>
      </c>
      <c r="D6" s="116"/>
      <c r="E6" s="116"/>
      <c r="F6" s="17" t="s">
        <v>24</v>
      </c>
      <c r="G6" s="117" t="s">
        <v>83</v>
      </c>
      <c r="H6" s="118"/>
      <c r="I6" s="118"/>
      <c r="J6" s="118"/>
      <c r="K6" s="118"/>
      <c r="L6" s="119"/>
      <c r="M6" s="22" t="s">
        <v>13</v>
      </c>
      <c r="N6" s="120" t="s">
        <v>61</v>
      </c>
      <c r="O6" s="121"/>
    </row>
    <row r="7" spans="1:19" s="1" customFormat="1" ht="24.05" customHeight="1" x14ac:dyDescent="0.25">
      <c r="A7" s="122" t="s">
        <v>5</v>
      </c>
      <c r="B7" s="124" t="s">
        <v>6</v>
      </c>
      <c r="C7" s="125"/>
      <c r="D7" s="128" t="s">
        <v>7</v>
      </c>
      <c r="E7" s="130" t="s">
        <v>8</v>
      </c>
      <c r="F7" s="128" t="s">
        <v>20</v>
      </c>
      <c r="G7" s="132" t="s">
        <v>21</v>
      </c>
      <c r="H7" s="134" t="s">
        <v>14</v>
      </c>
      <c r="I7" s="135"/>
      <c r="J7" s="136" t="s">
        <v>15</v>
      </c>
      <c r="K7" s="136"/>
      <c r="L7" s="137" t="s">
        <v>17</v>
      </c>
      <c r="M7" s="138"/>
      <c r="N7" s="139" t="s">
        <v>4</v>
      </c>
      <c r="O7" s="138"/>
    </row>
    <row r="8" spans="1:19" s="1" customFormat="1" ht="15.05" customHeight="1" thickBot="1" x14ac:dyDescent="0.3">
      <c r="A8" s="123"/>
      <c r="B8" s="126"/>
      <c r="C8" s="127"/>
      <c r="D8" s="129"/>
      <c r="E8" s="131"/>
      <c r="F8" s="129"/>
      <c r="G8" s="133"/>
      <c r="H8" s="79" t="s">
        <v>7</v>
      </c>
      <c r="I8" s="39" t="s">
        <v>9</v>
      </c>
      <c r="J8" s="40" t="s">
        <v>7</v>
      </c>
      <c r="K8" s="41" t="s">
        <v>3</v>
      </c>
      <c r="L8" s="79" t="s">
        <v>7</v>
      </c>
      <c r="M8" s="39" t="s">
        <v>3</v>
      </c>
      <c r="N8" s="42" t="s">
        <v>7</v>
      </c>
      <c r="O8" s="43" t="s">
        <v>9</v>
      </c>
    </row>
    <row r="9" spans="1:19" s="3" customFormat="1" ht="20" customHeight="1" x14ac:dyDescent="0.2">
      <c r="A9" s="61">
        <v>0</v>
      </c>
      <c r="B9" s="140" t="s">
        <v>58</v>
      </c>
      <c r="C9" s="141"/>
      <c r="D9" s="62">
        <v>1</v>
      </c>
      <c r="E9" s="63" t="s">
        <v>52</v>
      </c>
      <c r="F9" s="64">
        <f>C6*0.15</f>
        <v>375000</v>
      </c>
      <c r="G9" s="64">
        <f t="shared" ref="G9:G20" si="0">F9*D9</f>
        <v>375000</v>
      </c>
      <c r="H9" s="65">
        <v>1</v>
      </c>
      <c r="I9" s="66">
        <f t="shared" ref="I9:I20" si="1">H9*G9</f>
        <v>375000</v>
      </c>
      <c r="J9" s="67"/>
      <c r="K9" s="68">
        <f t="shared" ref="K9:K14" si="2">J9*F9*D9</f>
        <v>0</v>
      </c>
      <c r="L9" s="65">
        <f t="shared" ref="L9:M20" si="3">J9+H9</f>
        <v>1</v>
      </c>
      <c r="M9" s="66">
        <f t="shared" si="3"/>
        <v>375000</v>
      </c>
      <c r="N9" s="67">
        <f t="shared" ref="N9:N19" si="4">D9/D9-L9</f>
        <v>0</v>
      </c>
      <c r="O9" s="69">
        <f t="shared" ref="O9:O19" si="5">N9*G9</f>
        <v>0</v>
      </c>
    </row>
    <row r="10" spans="1:19" s="3" customFormat="1" ht="20" customHeight="1" x14ac:dyDescent="0.2">
      <c r="A10" s="60">
        <v>1</v>
      </c>
      <c r="B10" s="103" t="s">
        <v>53</v>
      </c>
      <c r="C10" s="104"/>
      <c r="D10" s="23">
        <v>1</v>
      </c>
      <c r="E10" s="24" t="s">
        <v>52</v>
      </c>
      <c r="F10" s="20">
        <v>123250</v>
      </c>
      <c r="G10" s="20">
        <f t="shared" si="0"/>
        <v>123250</v>
      </c>
      <c r="H10" s="33">
        <v>0.6028</v>
      </c>
      <c r="I10" s="18">
        <f t="shared" si="1"/>
        <v>74295.100000000006</v>
      </c>
      <c r="J10" s="34">
        <v>6.6200000000000037E-2</v>
      </c>
      <c r="K10" s="19">
        <f t="shared" si="2"/>
        <v>8159.1500000000042</v>
      </c>
      <c r="L10" s="33">
        <f t="shared" si="3"/>
        <v>0.66900000000000004</v>
      </c>
      <c r="M10" s="18">
        <f t="shared" si="3"/>
        <v>82454.250000000015</v>
      </c>
      <c r="N10" s="34">
        <f t="shared" si="4"/>
        <v>0.33099999999999996</v>
      </c>
      <c r="O10" s="50">
        <f t="shared" si="5"/>
        <v>40795.749999999993</v>
      </c>
      <c r="S10" s="77"/>
    </row>
    <row r="11" spans="1:19" s="3" customFormat="1" ht="20" customHeight="1" x14ac:dyDescent="0.2">
      <c r="A11" s="60">
        <v>2</v>
      </c>
      <c r="B11" s="103" t="s">
        <v>70</v>
      </c>
      <c r="C11" s="104"/>
      <c r="D11" s="23">
        <v>1</v>
      </c>
      <c r="E11" s="24" t="s">
        <v>52</v>
      </c>
      <c r="F11" s="20">
        <v>335724.5</v>
      </c>
      <c r="G11" s="20">
        <f t="shared" si="0"/>
        <v>335724.5</v>
      </c>
      <c r="H11" s="33">
        <v>0.76</v>
      </c>
      <c r="I11" s="18">
        <f t="shared" si="1"/>
        <v>255150.62</v>
      </c>
      <c r="J11" s="34"/>
      <c r="K11" s="19">
        <f t="shared" si="2"/>
        <v>0</v>
      </c>
      <c r="L11" s="33">
        <f t="shared" si="3"/>
        <v>0.76</v>
      </c>
      <c r="M11" s="18">
        <f>K11+I11</f>
        <v>255150.62</v>
      </c>
      <c r="N11" s="34">
        <f>D11/D11-L11</f>
        <v>0.24</v>
      </c>
      <c r="O11" s="50">
        <f>N11*G11</f>
        <v>80573.87999999999</v>
      </c>
      <c r="S11" s="77"/>
    </row>
    <row r="12" spans="1:19" s="3" customFormat="1" ht="20" customHeight="1" x14ac:dyDescent="0.2">
      <c r="A12" s="60">
        <v>3</v>
      </c>
      <c r="B12" s="103" t="s">
        <v>71</v>
      </c>
      <c r="C12" s="104"/>
      <c r="D12" s="23">
        <v>1</v>
      </c>
      <c r="E12" s="24" t="s">
        <v>52</v>
      </c>
      <c r="F12" s="20">
        <v>335724.5</v>
      </c>
      <c r="G12" s="20">
        <f t="shared" si="0"/>
        <v>335724.5</v>
      </c>
      <c r="H12" s="33">
        <v>0.33299999999999996</v>
      </c>
      <c r="I12" s="18">
        <f t="shared" si="1"/>
        <v>111796.25849999998</v>
      </c>
      <c r="J12" s="34">
        <v>0.20840000000000003</v>
      </c>
      <c r="K12" s="19">
        <f t="shared" si="2"/>
        <v>69964.985800000009</v>
      </c>
      <c r="L12" s="33">
        <f t="shared" si="3"/>
        <v>0.54139999999999999</v>
      </c>
      <c r="M12" s="18">
        <f>K12+I12</f>
        <v>181761.24429999999</v>
      </c>
      <c r="N12" s="34">
        <f>D12/D12-L12</f>
        <v>0.45860000000000001</v>
      </c>
      <c r="O12" s="50">
        <f>N12*G12</f>
        <v>153963.25570000001</v>
      </c>
      <c r="S12" s="77"/>
    </row>
    <row r="13" spans="1:19" s="3" customFormat="1" ht="20" customHeight="1" x14ac:dyDescent="0.2">
      <c r="A13" s="60">
        <v>4</v>
      </c>
      <c r="B13" s="103" t="s">
        <v>66</v>
      </c>
      <c r="C13" s="104"/>
      <c r="D13" s="23">
        <v>1</v>
      </c>
      <c r="E13" s="24" t="s">
        <v>52</v>
      </c>
      <c r="F13" s="20">
        <v>354881.8</v>
      </c>
      <c r="G13" s="20">
        <f>F13*D13</f>
        <v>354881.8</v>
      </c>
      <c r="H13" s="33">
        <v>9.2399999999999996E-2</v>
      </c>
      <c r="I13" s="18">
        <f>H13*G13</f>
        <v>32791.078320000001</v>
      </c>
      <c r="J13" s="34">
        <v>0.18049999999999999</v>
      </c>
      <c r="K13" s="19">
        <f t="shared" si="2"/>
        <v>64056.164899999996</v>
      </c>
      <c r="L13" s="33">
        <f>J13+H13</f>
        <v>0.27289999999999998</v>
      </c>
      <c r="M13" s="18">
        <f>K13+I13</f>
        <v>96847.243220000004</v>
      </c>
      <c r="N13" s="34">
        <f>D13/D13-L13</f>
        <v>0.72710000000000008</v>
      </c>
      <c r="O13" s="50">
        <f>N13*G13</f>
        <v>258034.55678000001</v>
      </c>
      <c r="S13" s="77"/>
    </row>
    <row r="14" spans="1:19" s="3" customFormat="1" ht="20" customHeight="1" x14ac:dyDescent="0.2">
      <c r="A14" s="60">
        <v>5</v>
      </c>
      <c r="B14" s="103" t="s">
        <v>65</v>
      </c>
      <c r="C14" s="104"/>
      <c r="D14" s="23">
        <v>1</v>
      </c>
      <c r="E14" s="24" t="s">
        <v>52</v>
      </c>
      <c r="F14" s="20">
        <v>163136.25</v>
      </c>
      <c r="G14" s="20">
        <f>F14*D14</f>
        <v>163136.25</v>
      </c>
      <c r="H14" s="33">
        <v>0.1229</v>
      </c>
      <c r="I14" s="18">
        <f>H14*G14</f>
        <v>20049.445124999998</v>
      </c>
      <c r="J14" s="34">
        <v>8.7099999999999997E-2</v>
      </c>
      <c r="K14" s="19">
        <f t="shared" si="2"/>
        <v>14209.167374999999</v>
      </c>
      <c r="L14" s="33">
        <f>J14+H14</f>
        <v>0.21</v>
      </c>
      <c r="M14" s="18">
        <f>K14+I14</f>
        <v>34258.612499999996</v>
      </c>
      <c r="N14" s="34">
        <f>D14/D14-L14</f>
        <v>0.79</v>
      </c>
      <c r="O14" s="50">
        <f>N14*G14</f>
        <v>128877.63750000001</v>
      </c>
      <c r="S14" s="77"/>
    </row>
    <row r="15" spans="1:19" s="3" customFormat="1" ht="20" customHeight="1" x14ac:dyDescent="0.2">
      <c r="A15" s="60">
        <v>6</v>
      </c>
      <c r="B15" s="103" t="s">
        <v>64</v>
      </c>
      <c r="C15" s="104"/>
      <c r="D15" s="23">
        <v>1</v>
      </c>
      <c r="E15" s="24" t="s">
        <v>52</v>
      </c>
      <c r="F15" s="20">
        <v>283379.8</v>
      </c>
      <c r="G15" s="20">
        <f t="shared" si="0"/>
        <v>283379.8</v>
      </c>
      <c r="H15" s="33">
        <v>0.20559999999999998</v>
      </c>
      <c r="I15" s="18">
        <f t="shared" si="1"/>
        <v>58262.886879999991</v>
      </c>
      <c r="J15" s="34">
        <v>8.2300000000000012E-2</v>
      </c>
      <c r="K15" s="19">
        <f t="shared" ref="K15:K19" si="6">J15*F15*D15</f>
        <v>23322.157540000004</v>
      </c>
      <c r="L15" s="33">
        <f t="shared" si="3"/>
        <v>0.28789999999999999</v>
      </c>
      <c r="M15" s="18">
        <f t="shared" si="3"/>
        <v>81585.044419999991</v>
      </c>
      <c r="N15" s="34">
        <f t="shared" si="4"/>
        <v>0.71209999999999996</v>
      </c>
      <c r="O15" s="50">
        <f t="shared" si="5"/>
        <v>201794.75557999997</v>
      </c>
      <c r="S15" s="77"/>
    </row>
    <row r="16" spans="1:19" s="3" customFormat="1" ht="20" customHeight="1" x14ac:dyDescent="0.2">
      <c r="A16" s="60">
        <v>7</v>
      </c>
      <c r="B16" s="103" t="s">
        <v>67</v>
      </c>
      <c r="C16" s="104"/>
      <c r="D16" s="23">
        <v>1</v>
      </c>
      <c r="E16" s="24" t="s">
        <v>52</v>
      </c>
      <c r="F16" s="20">
        <v>80580</v>
      </c>
      <c r="G16" s="20">
        <f t="shared" si="0"/>
        <v>80580</v>
      </c>
      <c r="H16" s="33">
        <v>0.312</v>
      </c>
      <c r="I16" s="18">
        <f t="shared" si="1"/>
        <v>25140.959999999999</v>
      </c>
      <c r="J16" s="34"/>
      <c r="K16" s="19">
        <f t="shared" si="6"/>
        <v>0</v>
      </c>
      <c r="L16" s="33">
        <f t="shared" si="3"/>
        <v>0.312</v>
      </c>
      <c r="M16" s="18">
        <f t="shared" si="3"/>
        <v>25140.959999999999</v>
      </c>
      <c r="N16" s="34">
        <f t="shared" si="4"/>
        <v>0.68799999999999994</v>
      </c>
      <c r="O16" s="50">
        <f t="shared" si="5"/>
        <v>55439.039999999994</v>
      </c>
      <c r="S16" s="77"/>
    </row>
    <row r="17" spans="1:19" s="3" customFormat="1" ht="20" customHeight="1" x14ac:dyDescent="0.2">
      <c r="A17" s="60">
        <v>8</v>
      </c>
      <c r="B17" s="103" t="s">
        <v>69</v>
      </c>
      <c r="C17" s="104"/>
      <c r="D17" s="23">
        <v>1</v>
      </c>
      <c r="E17" s="24" t="s">
        <v>52</v>
      </c>
      <c r="F17" s="20">
        <v>170051</v>
      </c>
      <c r="G17" s="20">
        <f>F17*D17</f>
        <v>170051</v>
      </c>
      <c r="H17" s="33">
        <v>0.23989999999999997</v>
      </c>
      <c r="I17" s="18">
        <f>H17*G17</f>
        <v>40795.234899999996</v>
      </c>
      <c r="J17" s="34">
        <v>7.0600000000000024E-2</v>
      </c>
      <c r="K17" s="19">
        <f>J17*F17*D17</f>
        <v>12005.600600000003</v>
      </c>
      <c r="L17" s="33">
        <f>J17+H17</f>
        <v>0.3105</v>
      </c>
      <c r="M17" s="18">
        <f>K17+I17</f>
        <v>52800.835500000001</v>
      </c>
      <c r="N17" s="34">
        <f>D17/D17-L17</f>
        <v>0.6895</v>
      </c>
      <c r="O17" s="50">
        <f>N17*G17</f>
        <v>117250.1645</v>
      </c>
      <c r="S17" s="77"/>
    </row>
    <row r="18" spans="1:19" s="3" customFormat="1" ht="20" customHeight="1" x14ac:dyDescent="0.2">
      <c r="A18" s="60">
        <v>9</v>
      </c>
      <c r="B18" s="103" t="s">
        <v>68</v>
      </c>
      <c r="C18" s="104"/>
      <c r="D18" s="23">
        <v>1</v>
      </c>
      <c r="E18" s="24" t="s">
        <v>52</v>
      </c>
      <c r="F18" s="20">
        <v>143573.5</v>
      </c>
      <c r="G18" s="20">
        <f t="shared" si="0"/>
        <v>143573.5</v>
      </c>
      <c r="H18" s="33">
        <v>0.31829999999999997</v>
      </c>
      <c r="I18" s="18">
        <f t="shared" si="1"/>
        <v>45699.445049999995</v>
      </c>
      <c r="J18" s="34">
        <v>6.9599999999999995E-2</v>
      </c>
      <c r="K18" s="19">
        <f t="shared" si="6"/>
        <v>9992.7155999999995</v>
      </c>
      <c r="L18" s="33">
        <f t="shared" si="3"/>
        <v>0.38789999999999997</v>
      </c>
      <c r="M18" s="18">
        <f t="shared" si="3"/>
        <v>55692.160649999991</v>
      </c>
      <c r="N18" s="34">
        <f t="shared" si="4"/>
        <v>0.61210000000000009</v>
      </c>
      <c r="O18" s="50">
        <f t="shared" si="5"/>
        <v>87881.339350000009</v>
      </c>
      <c r="S18" s="77"/>
    </row>
    <row r="19" spans="1:19" s="3" customFormat="1" ht="20" customHeight="1" x14ac:dyDescent="0.2">
      <c r="A19" s="60">
        <v>10</v>
      </c>
      <c r="B19" s="103" t="s">
        <v>74</v>
      </c>
      <c r="C19" s="104"/>
      <c r="D19" s="23">
        <v>1</v>
      </c>
      <c r="E19" s="24" t="s">
        <v>52</v>
      </c>
      <c r="F19" s="20">
        <v>112514.5</v>
      </c>
      <c r="G19" s="20">
        <f t="shared" si="0"/>
        <v>112514.5</v>
      </c>
      <c r="H19" s="33">
        <v>9.1499999999999998E-2</v>
      </c>
      <c r="I19" s="18">
        <f t="shared" si="1"/>
        <v>10295.07675</v>
      </c>
      <c r="J19" s="34">
        <v>1.3799999999999993E-2</v>
      </c>
      <c r="K19" s="19">
        <f t="shared" si="6"/>
        <v>1552.7000999999991</v>
      </c>
      <c r="L19" s="33">
        <f t="shared" si="3"/>
        <v>0.10529999999999999</v>
      </c>
      <c r="M19" s="18">
        <f t="shared" si="3"/>
        <v>11847.776849999998</v>
      </c>
      <c r="N19" s="34">
        <f t="shared" si="4"/>
        <v>0.89470000000000005</v>
      </c>
      <c r="O19" s="50">
        <f t="shared" si="5"/>
        <v>100666.72315000001</v>
      </c>
      <c r="S19" s="77"/>
    </row>
    <row r="20" spans="1:19" s="3" customFormat="1" ht="20" customHeight="1" thickBot="1" x14ac:dyDescent="0.25">
      <c r="A20" s="70">
        <v>11</v>
      </c>
      <c r="B20" s="105" t="s">
        <v>73</v>
      </c>
      <c r="C20" s="106"/>
      <c r="D20" s="51">
        <v>1</v>
      </c>
      <c r="E20" s="52" t="s">
        <v>52</v>
      </c>
      <c r="F20" s="53">
        <v>22184.149999999998</v>
      </c>
      <c r="G20" s="53">
        <f t="shared" si="0"/>
        <v>22184.149999999998</v>
      </c>
      <c r="H20" s="54">
        <v>0</v>
      </c>
      <c r="I20" s="55">
        <f t="shared" si="1"/>
        <v>0</v>
      </c>
      <c r="J20" s="56"/>
      <c r="K20" s="57">
        <f>J20*F20*D20</f>
        <v>0</v>
      </c>
      <c r="L20" s="54">
        <f t="shared" si="3"/>
        <v>0</v>
      </c>
      <c r="M20" s="55">
        <f t="shared" si="3"/>
        <v>0</v>
      </c>
      <c r="N20" s="56">
        <f t="shared" ref="N20" si="7">D20/D20-L20</f>
        <v>1</v>
      </c>
      <c r="O20" s="58">
        <f t="shared" ref="O20" si="8">N20*G20</f>
        <v>22184.149999999998</v>
      </c>
      <c r="S20" s="77"/>
    </row>
    <row r="21" spans="1:19" s="2" customFormat="1" ht="20.149999999999999" customHeight="1" thickBot="1" x14ac:dyDescent="0.3">
      <c r="A21" s="107" t="s">
        <v>16</v>
      </c>
      <c r="B21" s="108"/>
      <c r="C21" s="108"/>
      <c r="D21" s="108"/>
      <c r="E21" s="108"/>
      <c r="F21" s="109"/>
      <c r="G21" s="44">
        <f>SUBTOTAL(9,G9:G20)</f>
        <v>2500000</v>
      </c>
      <c r="H21" s="45">
        <f>I21/C6</f>
        <v>0.41971044220999992</v>
      </c>
      <c r="I21" s="44">
        <f>SUBTOTAL(9,I9:I20)</f>
        <v>1049276.1055249998</v>
      </c>
      <c r="J21" s="46">
        <f>K21/C6</f>
        <v>8.1305056766E-2</v>
      </c>
      <c r="K21" s="47">
        <f>SUBTOTAL(9,K9:K20)</f>
        <v>203262.64191500001</v>
      </c>
      <c r="L21" s="45">
        <f>M21/C6</f>
        <v>0.50101549897600006</v>
      </c>
      <c r="M21" s="48">
        <f>SUBTOTAL(9,M9:M20)</f>
        <v>1252538.7474400001</v>
      </c>
      <c r="N21" s="46">
        <f>O21/C6</f>
        <v>0.49898450102399988</v>
      </c>
      <c r="O21" s="49">
        <f>SUBTOTAL(9,O9:O20)</f>
        <v>1247461.2525599997</v>
      </c>
      <c r="S21" s="77"/>
    </row>
    <row r="22" spans="1:19" ht="20.3" customHeight="1" thickBot="1" x14ac:dyDescent="0.3">
      <c r="A22" s="110" t="s">
        <v>10</v>
      </c>
      <c r="B22" s="111"/>
      <c r="C22" s="111"/>
      <c r="D22" s="111"/>
      <c r="E22" s="111"/>
      <c r="F22" s="111"/>
      <c r="G22" s="111"/>
      <c r="H22" s="111"/>
      <c r="I22" s="112"/>
      <c r="J22" s="100"/>
      <c r="K22" s="101"/>
      <c r="L22" s="101"/>
      <c r="M22" s="102"/>
      <c r="N22" s="5"/>
      <c r="O22" s="6"/>
    </row>
    <row r="23" spans="1:19" ht="20.95" customHeight="1" thickBot="1" x14ac:dyDescent="0.25">
      <c r="A23" s="37"/>
      <c r="B23" s="38"/>
      <c r="C23" s="38"/>
      <c r="D23" s="38"/>
      <c r="E23" s="38"/>
      <c r="F23" s="38"/>
      <c r="G23" s="90" t="s">
        <v>22</v>
      </c>
      <c r="H23" s="90"/>
      <c r="I23" s="91"/>
      <c r="J23" s="92">
        <f>K21</f>
        <v>203262.64191500001</v>
      </c>
      <c r="K23" s="93"/>
      <c r="L23" s="93"/>
      <c r="M23" s="94"/>
      <c r="N23" s="13"/>
      <c r="O23" s="14"/>
    </row>
    <row r="24" spans="1:19" ht="29.3" customHeight="1" x14ac:dyDescent="0.2">
      <c r="A24" s="7"/>
      <c r="B24" s="95" t="s">
        <v>54</v>
      </c>
      <c r="C24" s="9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</row>
    <row r="25" spans="1:19" x14ac:dyDescent="0.2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</row>
    <row r="26" spans="1:19" ht="73" customHeight="1" thickBo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9" ht="8.1999999999999993" customHeight="1" thickBot="1" x14ac:dyDescent="0.25"/>
    <row r="28" spans="1:19" ht="17.7" x14ac:dyDescent="0.2">
      <c r="A28" s="96" t="s">
        <v>51</v>
      </c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9"/>
    </row>
    <row r="29" spans="1:19" ht="15.05" x14ac:dyDescent="0.2">
      <c r="A29" s="84" t="s">
        <v>25</v>
      </c>
      <c r="B29" s="85"/>
      <c r="C29" s="78">
        <f>G21</f>
        <v>2500000</v>
      </c>
      <c r="D29" s="86" t="s">
        <v>63</v>
      </c>
      <c r="E29" s="87"/>
      <c r="F29" s="30">
        <v>375000</v>
      </c>
      <c r="G29" s="29" t="s">
        <v>81</v>
      </c>
      <c r="H29" s="88">
        <f>K21</f>
        <v>203262.64191500001</v>
      </c>
      <c r="I29" s="89"/>
      <c r="J29" s="29" t="s">
        <v>47</v>
      </c>
      <c r="K29" s="30">
        <v>0</v>
      </c>
      <c r="L29" s="29" t="s">
        <v>48</v>
      </c>
      <c r="M29" s="30">
        <v>0</v>
      </c>
      <c r="N29" s="29" t="s">
        <v>49</v>
      </c>
      <c r="O29" s="32">
        <v>0</v>
      </c>
    </row>
    <row r="30" spans="1:19" ht="15.05" x14ac:dyDescent="0.2">
      <c r="A30" s="84" t="s">
        <v>50</v>
      </c>
      <c r="B30" s="85"/>
      <c r="C30" s="78">
        <f>M21</f>
        <v>1252538.7474400001</v>
      </c>
      <c r="D30" s="86" t="s">
        <v>26</v>
      </c>
      <c r="E30" s="87"/>
      <c r="F30" s="30">
        <v>179552.04499999998</v>
      </c>
      <c r="G30" s="29" t="s">
        <v>27</v>
      </c>
      <c r="H30" s="88">
        <v>0</v>
      </c>
      <c r="I30" s="89"/>
      <c r="J30" s="29" t="s">
        <v>28</v>
      </c>
      <c r="K30" s="30">
        <v>0</v>
      </c>
      <c r="L30" s="29" t="s">
        <v>29</v>
      </c>
      <c r="M30" s="30">
        <v>0</v>
      </c>
      <c r="N30" s="29" t="s">
        <v>30</v>
      </c>
      <c r="O30" s="32">
        <v>0</v>
      </c>
    </row>
    <row r="31" spans="1:19" ht="15.05" x14ac:dyDescent="0.2">
      <c r="A31" s="84" t="s">
        <v>36</v>
      </c>
      <c r="B31" s="85"/>
      <c r="C31" s="78">
        <f>O21</f>
        <v>1247461.2525599997</v>
      </c>
      <c r="D31" s="86" t="s">
        <v>31</v>
      </c>
      <c r="E31" s="87"/>
      <c r="F31" s="30">
        <v>172632.84100000001</v>
      </c>
      <c r="G31" s="29" t="s">
        <v>32</v>
      </c>
      <c r="H31" s="88">
        <v>0</v>
      </c>
      <c r="I31" s="89"/>
      <c r="J31" s="29" t="s">
        <v>33</v>
      </c>
      <c r="K31" s="30">
        <v>0</v>
      </c>
      <c r="L31" s="29" t="s">
        <v>34</v>
      </c>
      <c r="M31" s="30">
        <v>0</v>
      </c>
      <c r="N31" s="29" t="s">
        <v>35</v>
      </c>
      <c r="O31" s="32">
        <v>0</v>
      </c>
    </row>
    <row r="32" spans="1:19" ht="15.05" x14ac:dyDescent="0.2">
      <c r="A32" s="84"/>
      <c r="B32" s="85"/>
      <c r="C32" s="31"/>
      <c r="D32" s="86" t="s">
        <v>37</v>
      </c>
      <c r="E32" s="87"/>
      <c r="F32" s="30">
        <v>102296.65</v>
      </c>
      <c r="G32" s="29" t="s">
        <v>38</v>
      </c>
      <c r="H32" s="88">
        <v>0</v>
      </c>
      <c r="I32" s="89"/>
      <c r="J32" s="29" t="s">
        <v>39</v>
      </c>
      <c r="K32" s="30">
        <v>0</v>
      </c>
      <c r="L32" s="29" t="s">
        <v>40</v>
      </c>
      <c r="M32" s="30">
        <v>0</v>
      </c>
      <c r="N32" s="29" t="s">
        <v>41</v>
      </c>
      <c r="O32" s="32">
        <v>0</v>
      </c>
    </row>
    <row r="33" spans="1:15" ht="15.05" x14ac:dyDescent="0.2">
      <c r="A33" s="84"/>
      <c r="B33" s="85"/>
      <c r="C33" s="31"/>
      <c r="D33" s="86" t="s">
        <v>42</v>
      </c>
      <c r="E33" s="87"/>
      <c r="F33" s="30">
        <v>219794.569525</v>
      </c>
      <c r="G33" s="29" t="s">
        <v>43</v>
      </c>
      <c r="H33" s="88">
        <v>0</v>
      </c>
      <c r="I33" s="89"/>
      <c r="J33" s="29" t="s">
        <v>44</v>
      </c>
      <c r="K33" s="30">
        <v>0</v>
      </c>
      <c r="L33" s="29" t="s">
        <v>45</v>
      </c>
      <c r="M33" s="30">
        <v>0</v>
      </c>
      <c r="N33" s="29" t="s">
        <v>46</v>
      </c>
      <c r="O33" s="32">
        <v>0</v>
      </c>
    </row>
    <row r="34" spans="1:15" ht="18.350000000000001" thickBot="1" x14ac:dyDescent="0.25">
      <c r="A34" s="25"/>
      <c r="B34" s="26"/>
      <c r="C34" s="26"/>
      <c r="D34" s="26"/>
      <c r="E34" s="26"/>
      <c r="F34" s="36"/>
      <c r="G34" s="36"/>
      <c r="H34" s="27"/>
      <c r="I34" s="35"/>
      <c r="J34" s="26"/>
      <c r="K34" s="26"/>
      <c r="L34" s="26"/>
      <c r="M34" s="26"/>
      <c r="N34" s="26"/>
      <c r="O34" s="28"/>
    </row>
    <row r="37" spans="1:15" x14ac:dyDescent="0.2">
      <c r="F37" s="59">
        <f>H29*0.7</f>
        <v>142283.84934049999</v>
      </c>
    </row>
    <row r="38" spans="1:15" x14ac:dyDescent="0.2">
      <c r="F38" s="59">
        <f>H29-F37</f>
        <v>60978.792574500025</v>
      </c>
    </row>
    <row r="39" spans="1:15" x14ac:dyDescent="0.2">
      <c r="F39" s="59">
        <f>F38*0.11</f>
        <v>6707.6671831950025</v>
      </c>
    </row>
  </sheetData>
  <mergeCells count="62"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B10:C10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H7:I7"/>
    <mergeCell ref="J7:K7"/>
    <mergeCell ref="L7:M7"/>
    <mergeCell ref="N7:O7"/>
    <mergeCell ref="B9:C9"/>
    <mergeCell ref="B17:C17"/>
    <mergeCell ref="B20:C20"/>
    <mergeCell ref="A21:F21"/>
    <mergeCell ref="A22:I22"/>
    <mergeCell ref="B11:C11"/>
    <mergeCell ref="B12:C12"/>
    <mergeCell ref="B15:C15"/>
    <mergeCell ref="B14:C14"/>
    <mergeCell ref="B13:C13"/>
    <mergeCell ref="B16:C16"/>
    <mergeCell ref="A29:B29"/>
    <mergeCell ref="D29:E29"/>
    <mergeCell ref="H29:I29"/>
    <mergeCell ref="B18:C18"/>
    <mergeCell ref="B19:C19"/>
    <mergeCell ref="J22:M22"/>
    <mergeCell ref="G23:I23"/>
    <mergeCell ref="J23:M23"/>
    <mergeCell ref="B24:C24"/>
    <mergeCell ref="A28:O28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</mergeCells>
  <phoneticPr fontId="18" type="noConversion"/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891D-FCE2-43DF-A838-23092426BF49}">
  <dimension ref="A1:S39"/>
  <sheetViews>
    <sheetView showGridLines="0" topLeftCell="A7" zoomScale="70" zoomScaleNormal="70" zoomScaleSheetLayoutView="70" zoomScalePageLayoutView="50" workbookViewId="0">
      <selection activeCell="H30" sqref="H30:I30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</cols>
  <sheetData>
    <row r="1" spans="1:19" ht="64.5" customHeight="1" thickBot="1" x14ac:dyDescent="0.25">
      <c r="A1" s="150" t="s">
        <v>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9" ht="20.149999999999999" customHeight="1" x14ac:dyDescent="0.2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</row>
    <row r="3" spans="1:19" ht="20.149999999999999" customHeight="1" x14ac:dyDescent="0.2">
      <c r="A3" s="156" t="s">
        <v>0</v>
      </c>
      <c r="B3" s="157"/>
      <c r="C3" s="158" t="s">
        <v>54</v>
      </c>
      <c r="D3" s="158"/>
      <c r="E3" s="158"/>
      <c r="F3" s="15" t="s">
        <v>1</v>
      </c>
      <c r="G3" s="159" t="s">
        <v>60</v>
      </c>
      <c r="H3" s="160"/>
      <c r="I3" s="160"/>
      <c r="J3" s="160"/>
      <c r="K3" s="160"/>
      <c r="L3" s="161"/>
      <c r="M3" s="21" t="s">
        <v>19</v>
      </c>
      <c r="N3" s="162"/>
      <c r="O3" s="147"/>
    </row>
    <row r="4" spans="1:19" ht="20.149999999999999" customHeight="1" x14ac:dyDescent="0.2">
      <c r="A4" s="142" t="s">
        <v>23</v>
      </c>
      <c r="B4" s="143"/>
      <c r="C4" s="144" t="s">
        <v>72</v>
      </c>
      <c r="D4" s="144"/>
      <c r="E4" s="144"/>
      <c r="F4" s="15"/>
      <c r="G4" s="145"/>
      <c r="H4" s="145"/>
      <c r="I4" s="145"/>
      <c r="J4" s="145"/>
      <c r="K4" s="145"/>
      <c r="L4" s="145"/>
      <c r="M4" s="21" t="s">
        <v>18</v>
      </c>
      <c r="N4" s="146">
        <v>0</v>
      </c>
      <c r="O4" s="147"/>
    </row>
    <row r="5" spans="1:19" ht="20.149999999999999" customHeight="1" x14ac:dyDescent="0.2">
      <c r="A5" s="142" t="s">
        <v>55</v>
      </c>
      <c r="B5" s="143"/>
      <c r="C5" s="144"/>
      <c r="D5" s="144"/>
      <c r="E5" s="144"/>
      <c r="F5" s="16" t="s">
        <v>12</v>
      </c>
      <c r="G5" s="148" t="s">
        <v>84</v>
      </c>
      <c r="H5" s="148"/>
      <c r="I5" s="148"/>
      <c r="J5" s="148"/>
      <c r="K5" s="148"/>
      <c r="L5" s="148"/>
      <c r="M5" s="21" t="s">
        <v>2</v>
      </c>
      <c r="N5" s="149">
        <v>46174</v>
      </c>
      <c r="O5" s="147"/>
    </row>
    <row r="6" spans="1:19" ht="20.149999999999999" customHeight="1" thickBot="1" x14ac:dyDescent="0.25">
      <c r="A6" s="113" t="s">
        <v>56</v>
      </c>
      <c r="B6" s="114"/>
      <c r="C6" s="115">
        <v>2500000</v>
      </c>
      <c r="D6" s="116"/>
      <c r="E6" s="116"/>
      <c r="F6" s="17" t="s">
        <v>24</v>
      </c>
      <c r="G6" s="117" t="s">
        <v>85</v>
      </c>
      <c r="H6" s="118"/>
      <c r="I6" s="118"/>
      <c r="J6" s="118"/>
      <c r="K6" s="118"/>
      <c r="L6" s="119"/>
      <c r="M6" s="22" t="s">
        <v>13</v>
      </c>
      <c r="N6" s="120" t="s">
        <v>61</v>
      </c>
      <c r="O6" s="121"/>
    </row>
    <row r="7" spans="1:19" s="1" customFormat="1" ht="24.05" customHeight="1" x14ac:dyDescent="0.25">
      <c r="A7" s="122" t="s">
        <v>5</v>
      </c>
      <c r="B7" s="124" t="s">
        <v>6</v>
      </c>
      <c r="C7" s="125"/>
      <c r="D7" s="128" t="s">
        <v>7</v>
      </c>
      <c r="E7" s="130" t="s">
        <v>8</v>
      </c>
      <c r="F7" s="128" t="s">
        <v>20</v>
      </c>
      <c r="G7" s="132" t="s">
        <v>21</v>
      </c>
      <c r="H7" s="134" t="s">
        <v>14</v>
      </c>
      <c r="I7" s="135"/>
      <c r="J7" s="136" t="s">
        <v>15</v>
      </c>
      <c r="K7" s="136"/>
      <c r="L7" s="137" t="s">
        <v>17</v>
      </c>
      <c r="M7" s="138"/>
      <c r="N7" s="139" t="s">
        <v>4</v>
      </c>
      <c r="O7" s="138"/>
    </row>
    <row r="8" spans="1:19" s="1" customFormat="1" ht="15.05" customHeight="1" thickBot="1" x14ac:dyDescent="0.3">
      <c r="A8" s="123"/>
      <c r="B8" s="126"/>
      <c r="C8" s="127"/>
      <c r="D8" s="129"/>
      <c r="E8" s="131"/>
      <c r="F8" s="129"/>
      <c r="G8" s="133"/>
      <c r="H8" s="80" t="s">
        <v>7</v>
      </c>
      <c r="I8" s="39" t="s">
        <v>9</v>
      </c>
      <c r="J8" s="40" t="s">
        <v>7</v>
      </c>
      <c r="K8" s="41" t="s">
        <v>3</v>
      </c>
      <c r="L8" s="80" t="s">
        <v>7</v>
      </c>
      <c r="M8" s="39" t="s">
        <v>3</v>
      </c>
      <c r="N8" s="42" t="s">
        <v>7</v>
      </c>
      <c r="O8" s="43" t="s">
        <v>9</v>
      </c>
    </row>
    <row r="9" spans="1:19" s="3" customFormat="1" ht="20" customHeight="1" x14ac:dyDescent="0.2">
      <c r="A9" s="61">
        <v>0</v>
      </c>
      <c r="B9" s="140" t="s">
        <v>58</v>
      </c>
      <c r="C9" s="141"/>
      <c r="D9" s="62">
        <v>1</v>
      </c>
      <c r="E9" s="63" t="s">
        <v>52</v>
      </c>
      <c r="F9" s="64">
        <f>C6*0.15</f>
        <v>375000</v>
      </c>
      <c r="G9" s="64">
        <f t="shared" ref="G9:G20" si="0">F9*D9</f>
        <v>375000</v>
      </c>
      <c r="H9" s="65">
        <v>1</v>
      </c>
      <c r="I9" s="66">
        <f t="shared" ref="I9:I20" si="1">H9*G9</f>
        <v>375000</v>
      </c>
      <c r="J9" s="67"/>
      <c r="K9" s="68">
        <f t="shared" ref="K9:K19" si="2">J9*F9*D9</f>
        <v>0</v>
      </c>
      <c r="L9" s="65">
        <f t="shared" ref="L9:M20" si="3">J9+H9</f>
        <v>1</v>
      </c>
      <c r="M9" s="66">
        <f t="shared" si="3"/>
        <v>375000</v>
      </c>
      <c r="N9" s="67">
        <f t="shared" ref="N9:N20" si="4">D9/D9-L9</f>
        <v>0</v>
      </c>
      <c r="O9" s="69">
        <f t="shared" ref="O9:O20" si="5">N9*G9</f>
        <v>0</v>
      </c>
    </row>
    <row r="10" spans="1:19" s="3" customFormat="1" ht="20" customHeight="1" x14ac:dyDescent="0.2">
      <c r="A10" s="60">
        <v>1</v>
      </c>
      <c r="B10" s="103" t="s">
        <v>53</v>
      </c>
      <c r="C10" s="104"/>
      <c r="D10" s="23">
        <v>1</v>
      </c>
      <c r="E10" s="24" t="s">
        <v>52</v>
      </c>
      <c r="F10" s="20">
        <v>123250</v>
      </c>
      <c r="G10" s="20">
        <f t="shared" si="0"/>
        <v>123250</v>
      </c>
      <c r="H10" s="33">
        <v>0.66900000000000004</v>
      </c>
      <c r="I10" s="18">
        <f t="shared" si="1"/>
        <v>82454.25</v>
      </c>
      <c r="J10" s="34">
        <v>0.12409999999999999</v>
      </c>
      <c r="K10" s="19">
        <f t="shared" si="2"/>
        <v>15295.324999999999</v>
      </c>
      <c r="L10" s="33">
        <f t="shared" si="3"/>
        <v>0.79310000000000003</v>
      </c>
      <c r="M10" s="18">
        <f t="shared" si="3"/>
        <v>97749.574999999997</v>
      </c>
      <c r="N10" s="34">
        <f t="shared" si="4"/>
        <v>0.20689999999999997</v>
      </c>
      <c r="O10" s="50">
        <f t="shared" si="5"/>
        <v>25500.424999999996</v>
      </c>
      <c r="S10" s="77"/>
    </row>
    <row r="11" spans="1:19" s="3" customFormat="1" ht="20" customHeight="1" x14ac:dyDescent="0.2">
      <c r="A11" s="60">
        <v>2</v>
      </c>
      <c r="B11" s="103" t="s">
        <v>70</v>
      </c>
      <c r="C11" s="104"/>
      <c r="D11" s="23">
        <v>1</v>
      </c>
      <c r="E11" s="24" t="s">
        <v>52</v>
      </c>
      <c r="F11" s="20">
        <v>335724.5</v>
      </c>
      <c r="G11" s="20">
        <f t="shared" si="0"/>
        <v>335724.5</v>
      </c>
      <c r="H11" s="33">
        <v>0.76</v>
      </c>
      <c r="I11" s="18">
        <f t="shared" si="1"/>
        <v>255150.62</v>
      </c>
      <c r="J11" s="34">
        <v>0</v>
      </c>
      <c r="K11" s="19">
        <f t="shared" si="2"/>
        <v>0</v>
      </c>
      <c r="L11" s="33">
        <f t="shared" si="3"/>
        <v>0.76</v>
      </c>
      <c r="M11" s="18">
        <f>K11+I11</f>
        <v>255150.62</v>
      </c>
      <c r="N11" s="34">
        <f>D11/D11-L11</f>
        <v>0.24</v>
      </c>
      <c r="O11" s="50">
        <f>N11*G11</f>
        <v>80573.87999999999</v>
      </c>
      <c r="S11" s="77"/>
    </row>
    <row r="12" spans="1:19" s="3" customFormat="1" ht="20" customHeight="1" x14ac:dyDescent="0.2">
      <c r="A12" s="60">
        <v>3</v>
      </c>
      <c r="B12" s="103" t="s">
        <v>71</v>
      </c>
      <c r="C12" s="104"/>
      <c r="D12" s="23">
        <v>1</v>
      </c>
      <c r="E12" s="24" t="s">
        <v>52</v>
      </c>
      <c r="F12" s="20">
        <v>335724.5</v>
      </c>
      <c r="G12" s="20">
        <f t="shared" si="0"/>
        <v>335724.5</v>
      </c>
      <c r="H12" s="33">
        <v>0.54139999999999999</v>
      </c>
      <c r="I12" s="18">
        <f t="shared" si="1"/>
        <v>181761.24429999999</v>
      </c>
      <c r="J12" s="34">
        <v>0.11150000000000004</v>
      </c>
      <c r="K12" s="19">
        <f t="shared" si="2"/>
        <v>37433.281750000016</v>
      </c>
      <c r="L12" s="33">
        <f t="shared" si="3"/>
        <v>0.65290000000000004</v>
      </c>
      <c r="M12" s="18">
        <f>K12+I12</f>
        <v>219194.52605000001</v>
      </c>
      <c r="N12" s="34">
        <f>D12/D12-L12</f>
        <v>0.34709999999999996</v>
      </c>
      <c r="O12" s="50">
        <f>N12*G12</f>
        <v>116529.97394999999</v>
      </c>
      <c r="S12" s="77"/>
    </row>
    <row r="13" spans="1:19" s="3" customFormat="1" ht="20" customHeight="1" x14ac:dyDescent="0.2">
      <c r="A13" s="60">
        <v>4</v>
      </c>
      <c r="B13" s="103" t="s">
        <v>66</v>
      </c>
      <c r="C13" s="104"/>
      <c r="D13" s="23">
        <v>1</v>
      </c>
      <c r="E13" s="24" t="s">
        <v>52</v>
      </c>
      <c r="F13" s="20">
        <v>354881.8</v>
      </c>
      <c r="G13" s="20">
        <f>F13*D13</f>
        <v>354881.8</v>
      </c>
      <c r="H13" s="33">
        <v>0.27289999999999998</v>
      </c>
      <c r="I13" s="18">
        <f>H13*G13</f>
        <v>96847.243219999989</v>
      </c>
      <c r="J13" s="34">
        <v>0.42240000000000005</v>
      </c>
      <c r="K13" s="19">
        <f t="shared" si="2"/>
        <v>149902.07232000001</v>
      </c>
      <c r="L13" s="33">
        <f>J13+H13</f>
        <v>0.69530000000000003</v>
      </c>
      <c r="M13" s="18">
        <f>K13+I13</f>
        <v>246749.31553999998</v>
      </c>
      <c r="N13" s="34">
        <f>D13/D13-L13</f>
        <v>0.30469999999999997</v>
      </c>
      <c r="O13" s="50">
        <f>N13*G13</f>
        <v>108132.48445999999</v>
      </c>
      <c r="S13" s="77"/>
    </row>
    <row r="14" spans="1:19" s="3" customFormat="1" ht="20" customHeight="1" x14ac:dyDescent="0.2">
      <c r="A14" s="60">
        <v>5</v>
      </c>
      <c r="B14" s="103" t="s">
        <v>65</v>
      </c>
      <c r="C14" s="104"/>
      <c r="D14" s="23">
        <v>1</v>
      </c>
      <c r="E14" s="24" t="s">
        <v>52</v>
      </c>
      <c r="F14" s="20">
        <v>163136.25</v>
      </c>
      <c r="G14" s="20">
        <f>F14*D14</f>
        <v>163136.25</v>
      </c>
      <c r="H14" s="33">
        <v>0.21</v>
      </c>
      <c r="I14" s="18">
        <f>H14*G14</f>
        <v>34258.612499999996</v>
      </c>
      <c r="J14" s="34">
        <v>2.9600000000000015E-2</v>
      </c>
      <c r="K14" s="19">
        <f t="shared" si="2"/>
        <v>4828.8330000000024</v>
      </c>
      <c r="L14" s="33">
        <f>J14+H14</f>
        <v>0.23960000000000001</v>
      </c>
      <c r="M14" s="18">
        <f>K14+I14</f>
        <v>39087.445500000002</v>
      </c>
      <c r="N14" s="34">
        <f>D14/D14-L14</f>
        <v>0.76039999999999996</v>
      </c>
      <c r="O14" s="50">
        <f>N14*G14</f>
        <v>124048.8045</v>
      </c>
      <c r="S14" s="77"/>
    </row>
    <row r="15" spans="1:19" s="3" customFormat="1" ht="20" customHeight="1" x14ac:dyDescent="0.2">
      <c r="A15" s="60">
        <v>6</v>
      </c>
      <c r="B15" s="103" t="s">
        <v>64</v>
      </c>
      <c r="C15" s="104"/>
      <c r="D15" s="23">
        <v>1</v>
      </c>
      <c r="E15" s="24" t="s">
        <v>52</v>
      </c>
      <c r="F15" s="20">
        <v>283379.8</v>
      </c>
      <c r="G15" s="20">
        <f t="shared" si="0"/>
        <v>283379.8</v>
      </c>
      <c r="H15" s="33">
        <v>0.28789999999999999</v>
      </c>
      <c r="I15" s="18">
        <f t="shared" si="1"/>
        <v>81585.044419999991</v>
      </c>
      <c r="J15" s="34">
        <v>0.24130000000000001</v>
      </c>
      <c r="K15" s="19">
        <f t="shared" si="2"/>
        <v>68379.545740000001</v>
      </c>
      <c r="L15" s="33">
        <f t="shared" si="3"/>
        <v>0.5292</v>
      </c>
      <c r="M15" s="18">
        <f t="shared" si="3"/>
        <v>149964.59015999999</v>
      </c>
      <c r="N15" s="34">
        <f t="shared" si="4"/>
        <v>0.4708</v>
      </c>
      <c r="O15" s="50">
        <f t="shared" si="5"/>
        <v>133415.20984</v>
      </c>
      <c r="S15" s="77"/>
    </row>
    <row r="16" spans="1:19" s="3" customFormat="1" ht="20" customHeight="1" x14ac:dyDescent="0.2">
      <c r="A16" s="60">
        <v>7</v>
      </c>
      <c r="B16" s="103" t="s">
        <v>67</v>
      </c>
      <c r="C16" s="104"/>
      <c r="D16" s="23">
        <v>1</v>
      </c>
      <c r="E16" s="24" t="s">
        <v>52</v>
      </c>
      <c r="F16" s="20">
        <v>80580</v>
      </c>
      <c r="G16" s="20">
        <f t="shared" si="0"/>
        <v>80580</v>
      </c>
      <c r="H16" s="33">
        <v>0.312</v>
      </c>
      <c r="I16" s="18">
        <f t="shared" si="1"/>
        <v>25140.959999999999</v>
      </c>
      <c r="J16" s="34">
        <v>4.3800000000000006E-2</v>
      </c>
      <c r="K16" s="19">
        <f t="shared" si="2"/>
        <v>3529.4040000000005</v>
      </c>
      <c r="L16" s="33">
        <f t="shared" si="3"/>
        <v>0.35580000000000001</v>
      </c>
      <c r="M16" s="18">
        <f t="shared" si="3"/>
        <v>28670.364000000001</v>
      </c>
      <c r="N16" s="34">
        <f t="shared" si="4"/>
        <v>0.64419999999999999</v>
      </c>
      <c r="O16" s="50">
        <f t="shared" si="5"/>
        <v>51909.635999999999</v>
      </c>
      <c r="S16" s="77"/>
    </row>
    <row r="17" spans="1:19" s="3" customFormat="1" ht="20" customHeight="1" x14ac:dyDescent="0.2">
      <c r="A17" s="60">
        <v>8</v>
      </c>
      <c r="B17" s="103" t="s">
        <v>69</v>
      </c>
      <c r="C17" s="104"/>
      <c r="D17" s="23">
        <v>1</v>
      </c>
      <c r="E17" s="24" t="s">
        <v>52</v>
      </c>
      <c r="F17" s="20">
        <v>170051</v>
      </c>
      <c r="G17" s="20">
        <f>F17*D17</f>
        <v>170051</v>
      </c>
      <c r="H17" s="33">
        <v>0.3105</v>
      </c>
      <c r="I17" s="18">
        <f>H17*G17</f>
        <v>52800.835500000001</v>
      </c>
      <c r="J17" s="34">
        <v>0.14069999999999999</v>
      </c>
      <c r="K17" s="19">
        <f>J17*F17*D17</f>
        <v>23926.1757</v>
      </c>
      <c r="L17" s="33">
        <f>J17+H17</f>
        <v>0.45119999999999999</v>
      </c>
      <c r="M17" s="18">
        <f>K17+I17</f>
        <v>76727.011200000008</v>
      </c>
      <c r="N17" s="34">
        <f>D17/D17-L17</f>
        <v>0.54879999999999995</v>
      </c>
      <c r="O17" s="50">
        <f>N17*G17</f>
        <v>93323.988799999992</v>
      </c>
      <c r="S17" s="77"/>
    </row>
    <row r="18" spans="1:19" s="3" customFormat="1" ht="20" customHeight="1" x14ac:dyDescent="0.2">
      <c r="A18" s="60">
        <v>9</v>
      </c>
      <c r="B18" s="103" t="s">
        <v>68</v>
      </c>
      <c r="C18" s="104"/>
      <c r="D18" s="23">
        <v>1</v>
      </c>
      <c r="E18" s="24" t="s">
        <v>52</v>
      </c>
      <c r="F18" s="20">
        <v>143573.5</v>
      </c>
      <c r="G18" s="20">
        <f t="shared" si="0"/>
        <v>143573.5</v>
      </c>
      <c r="H18" s="33">
        <v>0.38789999999999997</v>
      </c>
      <c r="I18" s="18">
        <f t="shared" si="1"/>
        <v>55692.160649999998</v>
      </c>
      <c r="J18" s="34">
        <v>0.24079999999999996</v>
      </c>
      <c r="K18" s="19">
        <f t="shared" si="2"/>
        <v>34572.498799999994</v>
      </c>
      <c r="L18" s="33">
        <f t="shared" si="3"/>
        <v>0.62869999999999993</v>
      </c>
      <c r="M18" s="18">
        <f t="shared" si="3"/>
        <v>90264.659449999992</v>
      </c>
      <c r="N18" s="34">
        <f t="shared" si="4"/>
        <v>0.37130000000000007</v>
      </c>
      <c r="O18" s="50">
        <f t="shared" si="5"/>
        <v>53308.840550000008</v>
      </c>
      <c r="S18" s="77"/>
    </row>
    <row r="19" spans="1:19" s="3" customFormat="1" ht="20" customHeight="1" x14ac:dyDescent="0.2">
      <c r="A19" s="60">
        <v>10</v>
      </c>
      <c r="B19" s="103" t="s">
        <v>74</v>
      </c>
      <c r="C19" s="104"/>
      <c r="D19" s="23">
        <v>1</v>
      </c>
      <c r="E19" s="24" t="s">
        <v>52</v>
      </c>
      <c r="F19" s="20">
        <v>112514.5</v>
      </c>
      <c r="G19" s="20">
        <f t="shared" si="0"/>
        <v>112514.5</v>
      </c>
      <c r="H19" s="33">
        <v>0.10529999999999999</v>
      </c>
      <c r="I19" s="18">
        <f t="shared" si="1"/>
        <v>11847.776849999998</v>
      </c>
      <c r="J19" s="34">
        <v>0</v>
      </c>
      <c r="K19" s="19">
        <f t="shared" si="2"/>
        <v>0</v>
      </c>
      <c r="L19" s="33">
        <f t="shared" si="3"/>
        <v>0.10529999999999999</v>
      </c>
      <c r="M19" s="18">
        <f t="shared" si="3"/>
        <v>11847.776849999998</v>
      </c>
      <c r="N19" s="34">
        <f t="shared" si="4"/>
        <v>0.89470000000000005</v>
      </c>
      <c r="O19" s="50">
        <f t="shared" si="5"/>
        <v>100666.72315000001</v>
      </c>
      <c r="S19" s="77"/>
    </row>
    <row r="20" spans="1:19" s="3" customFormat="1" ht="20" customHeight="1" thickBot="1" x14ac:dyDescent="0.25">
      <c r="A20" s="70">
        <v>11</v>
      </c>
      <c r="B20" s="105" t="s">
        <v>73</v>
      </c>
      <c r="C20" s="106"/>
      <c r="D20" s="51">
        <v>1</v>
      </c>
      <c r="E20" s="52" t="s">
        <v>52</v>
      </c>
      <c r="F20" s="53">
        <v>22184.149999999998</v>
      </c>
      <c r="G20" s="53">
        <f t="shared" si="0"/>
        <v>22184.149999999998</v>
      </c>
      <c r="H20" s="54">
        <v>0</v>
      </c>
      <c r="I20" s="55">
        <f t="shared" si="1"/>
        <v>0</v>
      </c>
      <c r="J20" s="56"/>
      <c r="K20" s="57">
        <f>J20*F20*D20</f>
        <v>0</v>
      </c>
      <c r="L20" s="54">
        <f t="shared" si="3"/>
        <v>0</v>
      </c>
      <c r="M20" s="55">
        <f t="shared" si="3"/>
        <v>0</v>
      </c>
      <c r="N20" s="56">
        <f t="shared" si="4"/>
        <v>1</v>
      </c>
      <c r="O20" s="58">
        <f t="shared" si="5"/>
        <v>22184.149999999998</v>
      </c>
      <c r="S20" s="77"/>
    </row>
    <row r="21" spans="1:19" s="2" customFormat="1" ht="20.149999999999999" customHeight="1" thickBot="1" x14ac:dyDescent="0.3">
      <c r="A21" s="107" t="s">
        <v>16</v>
      </c>
      <c r="B21" s="108"/>
      <c r="C21" s="108"/>
      <c r="D21" s="108"/>
      <c r="E21" s="108"/>
      <c r="F21" s="109"/>
      <c r="G21" s="44">
        <f>SUBTOTAL(9,G9:G20)</f>
        <v>2500000</v>
      </c>
      <c r="H21" s="45">
        <f>I21/C6</f>
        <v>0.50101549897600006</v>
      </c>
      <c r="I21" s="44">
        <f>SUBTOTAL(9,I9:I20)</f>
        <v>1252538.7474400001</v>
      </c>
      <c r="J21" s="46">
        <f>K21/C6</f>
        <v>0.13514685452400002</v>
      </c>
      <c r="K21" s="47">
        <f>SUBTOTAL(9,K9:K20)</f>
        <v>337867.13631000003</v>
      </c>
      <c r="L21" s="45">
        <f>M21/C6</f>
        <v>0.63616235350000006</v>
      </c>
      <c r="M21" s="48">
        <f>SUBTOTAL(9,M9:M20)</f>
        <v>1590405.88375</v>
      </c>
      <c r="N21" s="46">
        <f>O21/C6</f>
        <v>0.3638376465</v>
      </c>
      <c r="O21" s="49">
        <f>SUBTOTAL(9,O9:O20)</f>
        <v>909594.11624999996</v>
      </c>
      <c r="S21" s="77"/>
    </row>
    <row r="22" spans="1:19" ht="20.3" customHeight="1" thickBot="1" x14ac:dyDescent="0.3">
      <c r="A22" s="110" t="s">
        <v>10</v>
      </c>
      <c r="B22" s="111"/>
      <c r="C22" s="111"/>
      <c r="D22" s="111"/>
      <c r="E22" s="111"/>
      <c r="F22" s="111"/>
      <c r="G22" s="111"/>
      <c r="H22" s="111"/>
      <c r="I22" s="112"/>
      <c r="J22" s="100"/>
      <c r="K22" s="101"/>
      <c r="L22" s="101"/>
      <c r="M22" s="102"/>
      <c r="N22" s="5"/>
      <c r="O22" s="6"/>
    </row>
    <row r="23" spans="1:19" ht="20.95" customHeight="1" thickBot="1" x14ac:dyDescent="0.25">
      <c r="A23" s="37"/>
      <c r="B23" s="38"/>
      <c r="C23" s="38"/>
      <c r="D23" s="38"/>
      <c r="E23" s="38"/>
      <c r="F23" s="38"/>
      <c r="G23" s="90" t="s">
        <v>22</v>
      </c>
      <c r="H23" s="90"/>
      <c r="I23" s="91"/>
      <c r="J23" s="92">
        <f>K21</f>
        <v>337867.13631000003</v>
      </c>
      <c r="K23" s="93"/>
      <c r="L23" s="93"/>
      <c r="M23" s="94"/>
      <c r="N23" s="13"/>
      <c r="O23" s="14"/>
    </row>
    <row r="24" spans="1:19" ht="29.3" customHeight="1" x14ac:dyDescent="0.2">
      <c r="A24" s="7"/>
      <c r="B24" s="95" t="s">
        <v>54</v>
      </c>
      <c r="C24" s="9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</row>
    <row r="25" spans="1:19" x14ac:dyDescent="0.2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</row>
    <row r="26" spans="1:19" ht="73" customHeight="1" thickBo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9" ht="8.1999999999999993" customHeight="1" thickBot="1" x14ac:dyDescent="0.25"/>
    <row r="28" spans="1:19" ht="17.7" x14ac:dyDescent="0.2">
      <c r="A28" s="96" t="s">
        <v>51</v>
      </c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9"/>
    </row>
    <row r="29" spans="1:19" ht="15.05" x14ac:dyDescent="0.2">
      <c r="A29" s="84" t="s">
        <v>25</v>
      </c>
      <c r="B29" s="85"/>
      <c r="C29" s="81">
        <f>G21</f>
        <v>2500000</v>
      </c>
      <c r="D29" s="86" t="s">
        <v>63</v>
      </c>
      <c r="E29" s="87"/>
      <c r="F29" s="30">
        <v>375000</v>
      </c>
      <c r="G29" s="29" t="s">
        <v>81</v>
      </c>
      <c r="H29" s="88">
        <v>203262.64191500001</v>
      </c>
      <c r="I29" s="89"/>
      <c r="J29" s="29" t="s">
        <v>47</v>
      </c>
      <c r="K29" s="30">
        <v>0</v>
      </c>
      <c r="L29" s="29" t="s">
        <v>48</v>
      </c>
      <c r="M29" s="30">
        <v>0</v>
      </c>
      <c r="N29" s="29" t="s">
        <v>49</v>
      </c>
      <c r="O29" s="32">
        <v>0</v>
      </c>
    </row>
    <row r="30" spans="1:19" ht="15.05" x14ac:dyDescent="0.2">
      <c r="A30" s="84" t="s">
        <v>50</v>
      </c>
      <c r="B30" s="85"/>
      <c r="C30" s="81">
        <f>M21</f>
        <v>1590405.88375</v>
      </c>
      <c r="D30" s="86" t="s">
        <v>26</v>
      </c>
      <c r="E30" s="87"/>
      <c r="F30" s="30">
        <v>179552.04499999998</v>
      </c>
      <c r="G30" s="29" t="s">
        <v>27</v>
      </c>
      <c r="H30" s="88">
        <f>K21</f>
        <v>337867.13631000003</v>
      </c>
      <c r="I30" s="89"/>
      <c r="J30" s="29" t="s">
        <v>28</v>
      </c>
      <c r="K30" s="30">
        <v>0</v>
      </c>
      <c r="L30" s="29" t="s">
        <v>29</v>
      </c>
      <c r="M30" s="30">
        <v>0</v>
      </c>
      <c r="N30" s="29" t="s">
        <v>30</v>
      </c>
      <c r="O30" s="32">
        <v>0</v>
      </c>
    </row>
    <row r="31" spans="1:19" ht="15.05" x14ac:dyDescent="0.2">
      <c r="A31" s="84" t="s">
        <v>36</v>
      </c>
      <c r="B31" s="85"/>
      <c r="C31" s="81">
        <f>O21</f>
        <v>909594.11624999996</v>
      </c>
      <c r="D31" s="86" t="s">
        <v>31</v>
      </c>
      <c r="E31" s="87"/>
      <c r="F31" s="30">
        <v>172632.84100000001</v>
      </c>
      <c r="G31" s="29" t="s">
        <v>32</v>
      </c>
      <c r="H31" s="88">
        <v>0</v>
      </c>
      <c r="I31" s="89"/>
      <c r="J31" s="29" t="s">
        <v>33</v>
      </c>
      <c r="K31" s="30">
        <v>0</v>
      </c>
      <c r="L31" s="29" t="s">
        <v>34</v>
      </c>
      <c r="M31" s="30">
        <v>0</v>
      </c>
      <c r="N31" s="29" t="s">
        <v>35</v>
      </c>
      <c r="O31" s="32">
        <v>0</v>
      </c>
    </row>
    <row r="32" spans="1:19" ht="15.05" x14ac:dyDescent="0.2">
      <c r="A32" s="84"/>
      <c r="B32" s="85"/>
      <c r="C32" s="31"/>
      <c r="D32" s="86" t="s">
        <v>37</v>
      </c>
      <c r="E32" s="87"/>
      <c r="F32" s="30">
        <v>102296.65</v>
      </c>
      <c r="G32" s="29" t="s">
        <v>38</v>
      </c>
      <c r="H32" s="88">
        <v>0</v>
      </c>
      <c r="I32" s="89"/>
      <c r="J32" s="29" t="s">
        <v>39</v>
      </c>
      <c r="K32" s="30">
        <v>0</v>
      </c>
      <c r="L32" s="29" t="s">
        <v>40</v>
      </c>
      <c r="M32" s="30">
        <v>0</v>
      </c>
      <c r="N32" s="29" t="s">
        <v>41</v>
      </c>
      <c r="O32" s="32">
        <v>0</v>
      </c>
    </row>
    <row r="33" spans="1:15" ht="15.05" x14ac:dyDescent="0.2">
      <c r="A33" s="84"/>
      <c r="B33" s="85"/>
      <c r="C33" s="31"/>
      <c r="D33" s="86" t="s">
        <v>42</v>
      </c>
      <c r="E33" s="87"/>
      <c r="F33" s="30">
        <v>219794.569525</v>
      </c>
      <c r="G33" s="29" t="s">
        <v>43</v>
      </c>
      <c r="H33" s="88">
        <v>0</v>
      </c>
      <c r="I33" s="89"/>
      <c r="J33" s="29" t="s">
        <v>44</v>
      </c>
      <c r="K33" s="30">
        <v>0</v>
      </c>
      <c r="L33" s="29" t="s">
        <v>45</v>
      </c>
      <c r="M33" s="30">
        <v>0</v>
      </c>
      <c r="N33" s="29" t="s">
        <v>46</v>
      </c>
      <c r="O33" s="32">
        <v>0</v>
      </c>
    </row>
    <row r="34" spans="1:15" ht="18.350000000000001" thickBot="1" x14ac:dyDescent="0.25">
      <c r="A34" s="25"/>
      <c r="B34" s="26"/>
      <c r="C34" s="26"/>
      <c r="D34" s="26"/>
      <c r="E34" s="26"/>
      <c r="F34" s="36"/>
      <c r="G34" s="36"/>
      <c r="H34" s="27"/>
      <c r="I34" s="35"/>
      <c r="J34" s="26"/>
      <c r="K34" s="26"/>
      <c r="L34" s="26"/>
      <c r="M34" s="26"/>
      <c r="N34" s="26"/>
      <c r="O34" s="28"/>
    </row>
    <row r="37" spans="1:15" x14ac:dyDescent="0.2">
      <c r="F37" s="59">
        <f>H30*0.7</f>
        <v>236506.995417</v>
      </c>
    </row>
    <row r="38" spans="1:15" x14ac:dyDescent="0.2">
      <c r="F38" s="59">
        <f>H30-F37</f>
        <v>101360.14089300003</v>
      </c>
    </row>
    <row r="39" spans="1:15" x14ac:dyDescent="0.2">
      <c r="F39" s="59">
        <f>F38*0.11</f>
        <v>11149.615498230003</v>
      </c>
    </row>
  </sheetData>
  <mergeCells count="62">
    <mergeCell ref="A32:B32"/>
    <mergeCell ref="D32:E32"/>
    <mergeCell ref="H32:I32"/>
    <mergeCell ref="A33:B33"/>
    <mergeCell ref="D33:E33"/>
    <mergeCell ref="H33:I33"/>
    <mergeCell ref="A30:B30"/>
    <mergeCell ref="D30:E30"/>
    <mergeCell ref="H30:I30"/>
    <mergeCell ref="A31:B31"/>
    <mergeCell ref="D31:E31"/>
    <mergeCell ref="H31:I31"/>
    <mergeCell ref="J22:M22"/>
    <mergeCell ref="G23:I23"/>
    <mergeCell ref="J23:M23"/>
    <mergeCell ref="B24:C24"/>
    <mergeCell ref="A28:O28"/>
    <mergeCell ref="A29:B29"/>
    <mergeCell ref="D29:E29"/>
    <mergeCell ref="H29:I29"/>
    <mergeCell ref="B17:C17"/>
    <mergeCell ref="B18:C18"/>
    <mergeCell ref="B19:C19"/>
    <mergeCell ref="B20:C20"/>
    <mergeCell ref="A21:F21"/>
    <mergeCell ref="A22:I22"/>
    <mergeCell ref="B16:C16"/>
    <mergeCell ref="H7:I7"/>
    <mergeCell ref="J7:K7"/>
    <mergeCell ref="L7:M7"/>
    <mergeCell ref="N7:O7"/>
    <mergeCell ref="B9:C9"/>
    <mergeCell ref="B10:C10"/>
    <mergeCell ref="B11:C11"/>
    <mergeCell ref="B12:C12"/>
    <mergeCell ref="B13:C13"/>
    <mergeCell ref="B14:C14"/>
    <mergeCell ref="B15:C15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A4:B4"/>
    <mergeCell ref="C4:E4"/>
    <mergeCell ref="G4:L4"/>
    <mergeCell ref="N4:O4"/>
    <mergeCell ref="A5:B5"/>
    <mergeCell ref="C5:E5"/>
    <mergeCell ref="G5:L5"/>
    <mergeCell ref="N5:O5"/>
    <mergeCell ref="A1:O1"/>
    <mergeCell ref="A2:O2"/>
    <mergeCell ref="A3:B3"/>
    <mergeCell ref="C3:E3"/>
    <mergeCell ref="G3:L3"/>
    <mergeCell ref="N3:O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E436-CD5B-41C7-9124-59C9E09C79E5}">
  <dimension ref="A1:S39"/>
  <sheetViews>
    <sheetView showGridLines="0" tabSelected="1" zoomScale="70" zoomScaleNormal="70" zoomScaleSheetLayoutView="70" zoomScalePageLayoutView="50" workbookViewId="0">
      <selection sqref="A1:O1"/>
    </sheetView>
  </sheetViews>
  <sheetFormatPr defaultRowHeight="12.45" x14ac:dyDescent="0.2"/>
  <cols>
    <col min="1" max="1" width="8.25" customWidth="1"/>
    <col min="2" max="2" width="31.125" customWidth="1"/>
    <col min="3" max="3" width="29.625" customWidth="1"/>
    <col min="4" max="5" width="7.625" customWidth="1"/>
    <col min="6" max="6" width="24.625" customWidth="1"/>
    <col min="7" max="7" width="21" customWidth="1"/>
    <col min="8" max="8" width="11" customWidth="1"/>
    <col min="9" max="9" width="21.375" customWidth="1"/>
    <col min="10" max="10" width="14" customWidth="1"/>
    <col min="11" max="11" width="26.125" customWidth="1"/>
    <col min="12" max="12" width="12.625" customWidth="1"/>
    <col min="13" max="13" width="24.875" customWidth="1"/>
    <col min="14" max="14" width="16.125" bestFit="1" customWidth="1"/>
    <col min="15" max="15" width="26" bestFit="1" customWidth="1"/>
  </cols>
  <sheetData>
    <row r="1" spans="1:19" ht="64.5" customHeight="1" thickBot="1" x14ac:dyDescent="0.25">
      <c r="A1" s="150" t="s">
        <v>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</row>
    <row r="2" spans="1:19" ht="20.149999999999999" customHeight="1" x14ac:dyDescent="0.2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</row>
    <row r="3" spans="1:19" ht="20.149999999999999" customHeight="1" x14ac:dyDescent="0.2">
      <c r="A3" s="156" t="s">
        <v>0</v>
      </c>
      <c r="B3" s="157"/>
      <c r="C3" s="158" t="s">
        <v>54</v>
      </c>
      <c r="D3" s="158"/>
      <c r="E3" s="158"/>
      <c r="F3" s="15" t="s">
        <v>1</v>
      </c>
      <c r="G3" s="159" t="s">
        <v>60</v>
      </c>
      <c r="H3" s="160"/>
      <c r="I3" s="160"/>
      <c r="J3" s="160"/>
      <c r="K3" s="160"/>
      <c r="L3" s="161"/>
      <c r="M3" s="21" t="s">
        <v>19</v>
      </c>
      <c r="N3" s="162"/>
      <c r="O3" s="147"/>
    </row>
    <row r="4" spans="1:19" ht="20.149999999999999" customHeight="1" x14ac:dyDescent="0.2">
      <c r="A4" s="142" t="s">
        <v>23</v>
      </c>
      <c r="B4" s="143"/>
      <c r="C4" s="144" t="s">
        <v>72</v>
      </c>
      <c r="D4" s="144"/>
      <c r="E4" s="144"/>
      <c r="F4" s="15"/>
      <c r="G4" s="145"/>
      <c r="H4" s="145"/>
      <c r="I4" s="145"/>
      <c r="J4" s="145"/>
      <c r="K4" s="145"/>
      <c r="L4" s="145"/>
      <c r="M4" s="21" t="s">
        <v>18</v>
      </c>
      <c r="N4" s="146">
        <v>0</v>
      </c>
      <c r="O4" s="147"/>
    </row>
    <row r="5" spans="1:19" ht="20.149999999999999" customHeight="1" x14ac:dyDescent="0.2">
      <c r="A5" s="142" t="s">
        <v>55</v>
      </c>
      <c r="B5" s="143"/>
      <c r="C5" s="144"/>
      <c r="D5" s="144"/>
      <c r="E5" s="144"/>
      <c r="F5" s="16" t="s">
        <v>12</v>
      </c>
      <c r="G5" s="148" t="s">
        <v>87</v>
      </c>
      <c r="H5" s="148"/>
      <c r="I5" s="148"/>
      <c r="J5" s="148"/>
      <c r="K5" s="148"/>
      <c r="L5" s="148"/>
      <c r="M5" s="21" t="s">
        <v>2</v>
      </c>
      <c r="N5" s="149">
        <v>46189</v>
      </c>
      <c r="O5" s="147"/>
    </row>
    <row r="6" spans="1:19" ht="20.149999999999999" customHeight="1" thickBot="1" x14ac:dyDescent="0.25">
      <c r="A6" s="113" t="s">
        <v>56</v>
      </c>
      <c r="B6" s="114"/>
      <c r="C6" s="115">
        <v>2500000</v>
      </c>
      <c r="D6" s="116"/>
      <c r="E6" s="116"/>
      <c r="F6" s="17" t="s">
        <v>24</v>
      </c>
      <c r="G6" s="117" t="s">
        <v>88</v>
      </c>
      <c r="H6" s="118"/>
      <c r="I6" s="118"/>
      <c r="J6" s="118"/>
      <c r="K6" s="118"/>
      <c r="L6" s="119"/>
      <c r="M6" s="22" t="s">
        <v>13</v>
      </c>
      <c r="N6" s="120" t="s">
        <v>61</v>
      </c>
      <c r="O6" s="121"/>
    </row>
    <row r="7" spans="1:19" s="1" customFormat="1" ht="24.05" customHeight="1" x14ac:dyDescent="0.25">
      <c r="A7" s="122" t="s">
        <v>5</v>
      </c>
      <c r="B7" s="124" t="s">
        <v>6</v>
      </c>
      <c r="C7" s="125"/>
      <c r="D7" s="128" t="s">
        <v>7</v>
      </c>
      <c r="E7" s="130" t="s">
        <v>8</v>
      </c>
      <c r="F7" s="128" t="s">
        <v>20</v>
      </c>
      <c r="G7" s="132" t="s">
        <v>21</v>
      </c>
      <c r="H7" s="134" t="s">
        <v>14</v>
      </c>
      <c r="I7" s="135"/>
      <c r="J7" s="136" t="s">
        <v>15</v>
      </c>
      <c r="K7" s="136"/>
      <c r="L7" s="137" t="s">
        <v>17</v>
      </c>
      <c r="M7" s="138"/>
      <c r="N7" s="139" t="s">
        <v>4</v>
      </c>
      <c r="O7" s="138"/>
    </row>
    <row r="8" spans="1:19" s="1" customFormat="1" ht="15.05" customHeight="1" thickBot="1" x14ac:dyDescent="0.3">
      <c r="A8" s="123"/>
      <c r="B8" s="126"/>
      <c r="C8" s="127"/>
      <c r="D8" s="129"/>
      <c r="E8" s="131"/>
      <c r="F8" s="129"/>
      <c r="G8" s="133"/>
      <c r="H8" s="83" t="s">
        <v>7</v>
      </c>
      <c r="I8" s="39" t="s">
        <v>9</v>
      </c>
      <c r="J8" s="40" t="s">
        <v>7</v>
      </c>
      <c r="K8" s="41" t="s">
        <v>3</v>
      </c>
      <c r="L8" s="83" t="s">
        <v>7</v>
      </c>
      <c r="M8" s="39" t="s">
        <v>3</v>
      </c>
      <c r="N8" s="42" t="s">
        <v>7</v>
      </c>
      <c r="O8" s="43" t="s">
        <v>9</v>
      </c>
    </row>
    <row r="9" spans="1:19" s="3" customFormat="1" ht="20" customHeight="1" x14ac:dyDescent="0.2">
      <c r="A9" s="61">
        <v>0</v>
      </c>
      <c r="B9" s="140" t="s">
        <v>58</v>
      </c>
      <c r="C9" s="141"/>
      <c r="D9" s="62">
        <v>1</v>
      </c>
      <c r="E9" s="63" t="s">
        <v>52</v>
      </c>
      <c r="F9" s="64">
        <f>C6*0.15</f>
        <v>375000</v>
      </c>
      <c r="G9" s="64">
        <f t="shared" ref="G9:G20" si="0">F9*D9</f>
        <v>375000</v>
      </c>
      <c r="H9" s="65">
        <v>1</v>
      </c>
      <c r="I9" s="66">
        <f t="shared" ref="I9:I20" si="1">H9*G9</f>
        <v>375000</v>
      </c>
      <c r="J9" s="67"/>
      <c r="K9" s="68">
        <f t="shared" ref="K9:K19" si="2">J9*F9*D9</f>
        <v>0</v>
      </c>
      <c r="L9" s="65">
        <f t="shared" ref="L9:M20" si="3">J9+H9</f>
        <v>1</v>
      </c>
      <c r="M9" s="66">
        <f t="shared" si="3"/>
        <v>375000</v>
      </c>
      <c r="N9" s="67">
        <f t="shared" ref="N9:N20" si="4">D9/D9-L9</f>
        <v>0</v>
      </c>
      <c r="O9" s="69">
        <f t="shared" ref="O9:O20" si="5">N9*G9</f>
        <v>0</v>
      </c>
      <c r="Q9" s="3" t="s">
        <v>86</v>
      </c>
    </row>
    <row r="10" spans="1:19" s="3" customFormat="1" ht="20" customHeight="1" x14ac:dyDescent="0.2">
      <c r="A10" s="60">
        <v>1</v>
      </c>
      <c r="B10" s="103" t="s">
        <v>53</v>
      </c>
      <c r="C10" s="104"/>
      <c r="D10" s="23">
        <v>1</v>
      </c>
      <c r="E10" s="24" t="s">
        <v>52</v>
      </c>
      <c r="F10" s="20">
        <v>123250</v>
      </c>
      <c r="G10" s="20">
        <f t="shared" si="0"/>
        <v>123250</v>
      </c>
      <c r="H10" s="33">
        <v>0.79310000000000003</v>
      </c>
      <c r="I10" s="18">
        <f t="shared" si="1"/>
        <v>97749.574999999997</v>
      </c>
      <c r="J10" s="34">
        <v>0.14069999999999994</v>
      </c>
      <c r="K10" s="19">
        <f t="shared" si="2"/>
        <v>17341.274999999991</v>
      </c>
      <c r="L10" s="33">
        <f t="shared" si="3"/>
        <v>0.93379999999999996</v>
      </c>
      <c r="M10" s="18">
        <f t="shared" si="3"/>
        <v>115090.84999999999</v>
      </c>
      <c r="N10" s="34">
        <f t="shared" si="4"/>
        <v>6.6200000000000037E-2</v>
      </c>
      <c r="O10" s="50">
        <f t="shared" si="5"/>
        <v>8159.1500000000042</v>
      </c>
      <c r="Q10" s="3">
        <v>93.38</v>
      </c>
      <c r="R10" s="77">
        <f>Q10/100-H10</f>
        <v>0.14069999999999994</v>
      </c>
      <c r="S10" s="77"/>
    </row>
    <row r="11" spans="1:19" s="3" customFormat="1" ht="20" customHeight="1" x14ac:dyDescent="0.2">
      <c r="A11" s="60">
        <v>2</v>
      </c>
      <c r="B11" s="103" t="s">
        <v>70</v>
      </c>
      <c r="C11" s="104"/>
      <c r="D11" s="23">
        <v>1</v>
      </c>
      <c r="E11" s="24" t="s">
        <v>52</v>
      </c>
      <c r="F11" s="20">
        <v>335724.5</v>
      </c>
      <c r="G11" s="20">
        <f t="shared" si="0"/>
        <v>335724.5</v>
      </c>
      <c r="H11" s="33">
        <v>0.76</v>
      </c>
      <c r="I11" s="18">
        <f t="shared" si="1"/>
        <v>255150.62</v>
      </c>
      <c r="J11" s="34"/>
      <c r="K11" s="19">
        <f t="shared" si="2"/>
        <v>0</v>
      </c>
      <c r="L11" s="33">
        <f t="shared" si="3"/>
        <v>0.76</v>
      </c>
      <c r="M11" s="18">
        <f>K11+I11</f>
        <v>255150.62</v>
      </c>
      <c r="N11" s="34">
        <f>D11/D11-L11</f>
        <v>0.24</v>
      </c>
      <c r="O11" s="50">
        <f>N11*G11</f>
        <v>80573.87999999999</v>
      </c>
      <c r="Q11" s="3">
        <v>71.930000000000007</v>
      </c>
      <c r="R11" s="77">
        <f t="shared" ref="R11:R20" si="6">Q11/100-H11</f>
        <v>-4.0699999999999958E-2</v>
      </c>
      <c r="S11" s="77"/>
    </row>
    <row r="12" spans="1:19" s="3" customFormat="1" ht="20" customHeight="1" x14ac:dyDescent="0.2">
      <c r="A12" s="60">
        <v>3</v>
      </c>
      <c r="B12" s="103" t="s">
        <v>71</v>
      </c>
      <c r="C12" s="104"/>
      <c r="D12" s="23">
        <v>1</v>
      </c>
      <c r="E12" s="24" t="s">
        <v>52</v>
      </c>
      <c r="F12" s="20">
        <v>335724.5</v>
      </c>
      <c r="G12" s="20">
        <f t="shared" si="0"/>
        <v>335724.5</v>
      </c>
      <c r="H12" s="33">
        <v>0.65290000000000004</v>
      </c>
      <c r="I12" s="18">
        <f t="shared" si="1"/>
        <v>219194.52605000001</v>
      </c>
      <c r="J12" s="34">
        <v>5.5499999999999994E-2</v>
      </c>
      <c r="K12" s="19">
        <f t="shared" si="2"/>
        <v>18632.709749999998</v>
      </c>
      <c r="L12" s="33">
        <f t="shared" si="3"/>
        <v>0.70840000000000003</v>
      </c>
      <c r="M12" s="18">
        <f>K12+I12</f>
        <v>237827.23580000002</v>
      </c>
      <c r="N12" s="34">
        <f>D12/D12-L12</f>
        <v>0.29159999999999997</v>
      </c>
      <c r="O12" s="50">
        <f>N12*G12</f>
        <v>97897.264199999991</v>
      </c>
      <c r="Q12" s="3">
        <v>70.84</v>
      </c>
      <c r="R12" s="77">
        <f t="shared" si="6"/>
        <v>5.5499999999999994E-2</v>
      </c>
      <c r="S12" s="77"/>
    </row>
    <row r="13" spans="1:19" s="3" customFormat="1" ht="20" customHeight="1" x14ac:dyDescent="0.2">
      <c r="A13" s="60">
        <v>4</v>
      </c>
      <c r="B13" s="103" t="s">
        <v>66</v>
      </c>
      <c r="C13" s="104"/>
      <c r="D13" s="23">
        <v>1</v>
      </c>
      <c r="E13" s="24" t="s">
        <v>52</v>
      </c>
      <c r="F13" s="20">
        <v>354881.8</v>
      </c>
      <c r="G13" s="20">
        <f>F13*D13</f>
        <v>354881.8</v>
      </c>
      <c r="H13" s="33">
        <v>0.69530000000000003</v>
      </c>
      <c r="I13" s="18">
        <f>H13*G13</f>
        <v>246749.31554000001</v>
      </c>
      <c r="J13" s="34">
        <v>2.0100000000000007E-2</v>
      </c>
      <c r="K13" s="19">
        <f t="shared" si="2"/>
        <v>7133.1241800000025</v>
      </c>
      <c r="L13" s="33">
        <f>J13+H13</f>
        <v>0.71540000000000004</v>
      </c>
      <c r="M13" s="18">
        <f>K13+I13</f>
        <v>253882.43972000002</v>
      </c>
      <c r="N13" s="34">
        <f>D13/D13-L13</f>
        <v>0.28459999999999996</v>
      </c>
      <c r="O13" s="50">
        <f>N13*G13</f>
        <v>100999.36027999998</v>
      </c>
      <c r="Q13" s="3">
        <v>71.540000000000006</v>
      </c>
      <c r="R13" s="77">
        <f t="shared" si="6"/>
        <v>2.0100000000000007E-2</v>
      </c>
      <c r="S13" s="77"/>
    </row>
    <row r="14" spans="1:19" s="3" customFormat="1" ht="20" customHeight="1" x14ac:dyDescent="0.2">
      <c r="A14" s="60">
        <v>5</v>
      </c>
      <c r="B14" s="103" t="s">
        <v>65</v>
      </c>
      <c r="C14" s="104"/>
      <c r="D14" s="23">
        <v>1</v>
      </c>
      <c r="E14" s="24" t="s">
        <v>52</v>
      </c>
      <c r="F14" s="20">
        <v>163136.25</v>
      </c>
      <c r="G14" s="20">
        <f>F14*D14</f>
        <v>163136.25</v>
      </c>
      <c r="H14" s="33">
        <v>0.23960000000000001</v>
      </c>
      <c r="I14" s="18">
        <f>H14*G14</f>
        <v>39087.445500000002</v>
      </c>
      <c r="J14" s="34">
        <v>6.2200000000000005E-2</v>
      </c>
      <c r="K14" s="19">
        <f t="shared" si="2"/>
        <v>10147.074750000002</v>
      </c>
      <c r="L14" s="33">
        <f>J14+H14</f>
        <v>0.30180000000000001</v>
      </c>
      <c r="M14" s="18">
        <f>K14+I14</f>
        <v>49234.520250000001</v>
      </c>
      <c r="N14" s="34">
        <f>D14/D14-L14</f>
        <v>0.69819999999999993</v>
      </c>
      <c r="O14" s="50">
        <f>N14*G14</f>
        <v>113901.72974999998</v>
      </c>
      <c r="Q14" s="3">
        <v>30.18</v>
      </c>
      <c r="R14" s="77">
        <f t="shared" si="6"/>
        <v>6.2200000000000005E-2</v>
      </c>
      <c r="S14" s="77"/>
    </row>
    <row r="15" spans="1:19" s="3" customFormat="1" ht="20" customHeight="1" x14ac:dyDescent="0.2">
      <c r="A15" s="60">
        <v>6</v>
      </c>
      <c r="B15" s="103" t="s">
        <v>64</v>
      </c>
      <c r="C15" s="104"/>
      <c r="D15" s="23">
        <v>1</v>
      </c>
      <c r="E15" s="24" t="s">
        <v>52</v>
      </c>
      <c r="F15" s="20">
        <v>283379.8</v>
      </c>
      <c r="G15" s="20">
        <f t="shared" si="0"/>
        <v>283379.8</v>
      </c>
      <c r="H15" s="33">
        <v>0.5292</v>
      </c>
      <c r="I15" s="18">
        <f t="shared" si="1"/>
        <v>149964.59015999999</v>
      </c>
      <c r="J15" s="34">
        <v>0.18030000000000002</v>
      </c>
      <c r="K15" s="19">
        <f t="shared" si="2"/>
        <v>51093.377940000006</v>
      </c>
      <c r="L15" s="33">
        <f t="shared" si="3"/>
        <v>0.70950000000000002</v>
      </c>
      <c r="M15" s="18">
        <f t="shared" si="3"/>
        <v>201057.9681</v>
      </c>
      <c r="N15" s="34">
        <f t="shared" si="4"/>
        <v>0.29049999999999998</v>
      </c>
      <c r="O15" s="50">
        <f t="shared" si="5"/>
        <v>82321.83189999999</v>
      </c>
      <c r="Q15" s="3">
        <v>70.95</v>
      </c>
      <c r="R15" s="77">
        <f t="shared" si="6"/>
        <v>0.18030000000000002</v>
      </c>
      <c r="S15" s="77"/>
    </row>
    <row r="16" spans="1:19" s="3" customFormat="1" ht="20" customHeight="1" x14ac:dyDescent="0.2">
      <c r="A16" s="60">
        <v>7</v>
      </c>
      <c r="B16" s="103" t="s">
        <v>67</v>
      </c>
      <c r="C16" s="104"/>
      <c r="D16" s="23">
        <v>1</v>
      </c>
      <c r="E16" s="24" t="s">
        <v>52</v>
      </c>
      <c r="F16" s="20">
        <v>80580</v>
      </c>
      <c r="G16" s="20">
        <f t="shared" si="0"/>
        <v>80580</v>
      </c>
      <c r="H16" s="33">
        <v>0.35580000000000001</v>
      </c>
      <c r="I16" s="18">
        <f t="shared" si="1"/>
        <v>28670.364000000001</v>
      </c>
      <c r="J16" s="34">
        <v>0.10199999999999998</v>
      </c>
      <c r="K16" s="19">
        <f t="shared" si="2"/>
        <v>8219.159999999998</v>
      </c>
      <c r="L16" s="33">
        <f t="shared" si="3"/>
        <v>0.45779999999999998</v>
      </c>
      <c r="M16" s="18">
        <f t="shared" si="3"/>
        <v>36889.523999999998</v>
      </c>
      <c r="N16" s="34">
        <f t="shared" si="4"/>
        <v>0.54220000000000002</v>
      </c>
      <c r="O16" s="50">
        <f t="shared" si="5"/>
        <v>43690.476000000002</v>
      </c>
      <c r="Q16" s="3">
        <v>45.78</v>
      </c>
      <c r="R16" s="77">
        <f t="shared" si="6"/>
        <v>0.10199999999999998</v>
      </c>
      <c r="S16" s="77"/>
    </row>
    <row r="17" spans="1:19" s="3" customFormat="1" ht="20" customHeight="1" x14ac:dyDescent="0.2">
      <c r="A17" s="60">
        <v>8</v>
      </c>
      <c r="B17" s="103" t="s">
        <v>69</v>
      </c>
      <c r="C17" s="104"/>
      <c r="D17" s="23">
        <v>1</v>
      </c>
      <c r="E17" s="24" t="s">
        <v>52</v>
      </c>
      <c r="F17" s="20">
        <v>170051</v>
      </c>
      <c r="G17" s="20">
        <f>F17*D17</f>
        <v>170051</v>
      </c>
      <c r="H17" s="33">
        <v>0.45119999999999999</v>
      </c>
      <c r="I17" s="18">
        <f>H17*G17</f>
        <v>76727.011199999994</v>
      </c>
      <c r="J17" s="34"/>
      <c r="K17" s="19">
        <f>J17*F17*D17</f>
        <v>0</v>
      </c>
      <c r="L17" s="33">
        <f>J17+H17</f>
        <v>0.45119999999999999</v>
      </c>
      <c r="M17" s="18">
        <f>K17+I17</f>
        <v>76727.011199999994</v>
      </c>
      <c r="N17" s="34">
        <f>D17/D17-L17</f>
        <v>0.54879999999999995</v>
      </c>
      <c r="O17" s="50">
        <f>N17*G17</f>
        <v>93323.988799999992</v>
      </c>
      <c r="Q17" s="3">
        <v>45.12</v>
      </c>
      <c r="R17" s="77">
        <f t="shared" si="6"/>
        <v>0</v>
      </c>
      <c r="S17" s="77"/>
    </row>
    <row r="18" spans="1:19" s="3" customFormat="1" ht="20" customHeight="1" x14ac:dyDescent="0.2">
      <c r="A18" s="60">
        <v>9</v>
      </c>
      <c r="B18" s="103" t="s">
        <v>68</v>
      </c>
      <c r="C18" s="104"/>
      <c r="D18" s="23">
        <v>1</v>
      </c>
      <c r="E18" s="24" t="s">
        <v>52</v>
      </c>
      <c r="F18" s="20">
        <v>143573.5</v>
      </c>
      <c r="G18" s="20">
        <f t="shared" si="0"/>
        <v>143573.5</v>
      </c>
      <c r="H18" s="33">
        <v>0.62869999999999993</v>
      </c>
      <c r="I18" s="18">
        <f t="shared" si="1"/>
        <v>90264.659449999992</v>
      </c>
      <c r="J18" s="34">
        <v>0.28480000000000005</v>
      </c>
      <c r="K18" s="19">
        <f t="shared" si="2"/>
        <v>40889.732800000005</v>
      </c>
      <c r="L18" s="33">
        <f t="shared" si="3"/>
        <v>0.91349999999999998</v>
      </c>
      <c r="M18" s="18">
        <f t="shared" si="3"/>
        <v>131154.39225</v>
      </c>
      <c r="N18" s="34">
        <f t="shared" si="4"/>
        <v>8.6500000000000021E-2</v>
      </c>
      <c r="O18" s="50">
        <f t="shared" si="5"/>
        <v>12419.107750000003</v>
      </c>
      <c r="Q18" s="3">
        <v>91.35</v>
      </c>
      <c r="R18" s="77">
        <f t="shared" si="6"/>
        <v>0.28480000000000005</v>
      </c>
      <c r="S18" s="77"/>
    </row>
    <row r="19" spans="1:19" s="3" customFormat="1" ht="20" customHeight="1" x14ac:dyDescent="0.2">
      <c r="A19" s="60">
        <v>10</v>
      </c>
      <c r="B19" s="103" t="s">
        <v>74</v>
      </c>
      <c r="C19" s="104"/>
      <c r="D19" s="23">
        <v>1</v>
      </c>
      <c r="E19" s="24" t="s">
        <v>52</v>
      </c>
      <c r="F19" s="20">
        <v>112514.5</v>
      </c>
      <c r="G19" s="20">
        <f t="shared" si="0"/>
        <v>112514.5</v>
      </c>
      <c r="H19" s="33">
        <v>0.10529999999999999</v>
      </c>
      <c r="I19" s="18">
        <f t="shared" si="1"/>
        <v>11847.776849999998</v>
      </c>
      <c r="J19" s="34"/>
      <c r="K19" s="19">
        <f t="shared" si="2"/>
        <v>0</v>
      </c>
      <c r="L19" s="33">
        <f t="shared" si="3"/>
        <v>0.10529999999999999</v>
      </c>
      <c r="M19" s="18">
        <f t="shared" si="3"/>
        <v>11847.776849999998</v>
      </c>
      <c r="N19" s="34">
        <f t="shared" si="4"/>
        <v>0.89470000000000005</v>
      </c>
      <c r="O19" s="50">
        <f t="shared" si="5"/>
        <v>100666.72315000001</v>
      </c>
      <c r="Q19" s="3">
        <v>10.53</v>
      </c>
      <c r="R19" s="77">
        <f t="shared" si="6"/>
        <v>0</v>
      </c>
      <c r="S19" s="77"/>
    </row>
    <row r="20" spans="1:19" s="3" customFormat="1" ht="20" customHeight="1" thickBot="1" x14ac:dyDescent="0.25">
      <c r="A20" s="70">
        <v>11</v>
      </c>
      <c r="B20" s="105" t="s">
        <v>73</v>
      </c>
      <c r="C20" s="106"/>
      <c r="D20" s="51">
        <v>1</v>
      </c>
      <c r="E20" s="52" t="s">
        <v>52</v>
      </c>
      <c r="F20" s="53">
        <v>22184.149999999998</v>
      </c>
      <c r="G20" s="53">
        <f t="shared" si="0"/>
        <v>22184.149999999998</v>
      </c>
      <c r="H20" s="54">
        <v>0</v>
      </c>
      <c r="I20" s="55">
        <f t="shared" si="1"/>
        <v>0</v>
      </c>
      <c r="J20" s="56"/>
      <c r="K20" s="57">
        <f>J20*F20*D20</f>
        <v>0</v>
      </c>
      <c r="L20" s="54">
        <f t="shared" si="3"/>
        <v>0</v>
      </c>
      <c r="M20" s="55">
        <f t="shared" si="3"/>
        <v>0</v>
      </c>
      <c r="N20" s="56">
        <f t="shared" si="4"/>
        <v>1</v>
      </c>
      <c r="O20" s="58">
        <f t="shared" si="5"/>
        <v>22184.149999999998</v>
      </c>
      <c r="Q20" s="3">
        <v>0</v>
      </c>
      <c r="R20" s="77">
        <f t="shared" si="6"/>
        <v>0</v>
      </c>
      <c r="S20" s="77"/>
    </row>
    <row r="21" spans="1:19" s="2" customFormat="1" ht="20.149999999999999" customHeight="1" thickBot="1" x14ac:dyDescent="0.3">
      <c r="A21" s="107" t="s">
        <v>16</v>
      </c>
      <c r="B21" s="108"/>
      <c r="C21" s="108"/>
      <c r="D21" s="108"/>
      <c r="E21" s="108"/>
      <c r="F21" s="109"/>
      <c r="G21" s="44">
        <f>SUBTOTAL(9,G9:G20)</f>
        <v>2500000</v>
      </c>
      <c r="H21" s="45">
        <f>I21/C6</f>
        <v>0.63616235350000006</v>
      </c>
      <c r="I21" s="44">
        <f>SUBTOTAL(9,I9:I20)</f>
        <v>1590405.88375</v>
      </c>
      <c r="J21" s="46">
        <f>K21/C6</f>
        <v>6.1382581767999995E-2</v>
      </c>
      <c r="K21" s="47">
        <f>SUBTOTAL(9,K9:K20)</f>
        <v>153456.45441999999</v>
      </c>
      <c r="L21" s="45">
        <f>M21/C6</f>
        <v>0.6975449352680001</v>
      </c>
      <c r="M21" s="48">
        <f>SUBTOTAL(9,M9:M20)</f>
        <v>1743862.3381700001</v>
      </c>
      <c r="N21" s="46">
        <f>O21/C6</f>
        <v>0.30245506473200001</v>
      </c>
      <c r="O21" s="49">
        <f>SUBTOTAL(9,O9:O20)</f>
        <v>756137.66183</v>
      </c>
      <c r="S21" s="77"/>
    </row>
    <row r="22" spans="1:19" ht="20.3" customHeight="1" thickBot="1" x14ac:dyDescent="0.3">
      <c r="A22" s="110" t="s">
        <v>10</v>
      </c>
      <c r="B22" s="111"/>
      <c r="C22" s="111"/>
      <c r="D22" s="111"/>
      <c r="E22" s="111"/>
      <c r="F22" s="111"/>
      <c r="G22" s="111"/>
      <c r="H22" s="111"/>
      <c r="I22" s="112"/>
      <c r="J22" s="100"/>
      <c r="K22" s="101"/>
      <c r="L22" s="101"/>
      <c r="M22" s="102"/>
      <c r="N22" s="5"/>
      <c r="O22" s="6"/>
    </row>
    <row r="23" spans="1:19" ht="20.95" customHeight="1" thickBot="1" x14ac:dyDescent="0.25">
      <c r="A23" s="37"/>
      <c r="B23" s="38"/>
      <c r="C23" s="38"/>
      <c r="D23" s="38"/>
      <c r="E23" s="38"/>
      <c r="F23" s="38"/>
      <c r="G23" s="90" t="s">
        <v>22</v>
      </c>
      <c r="H23" s="90"/>
      <c r="I23" s="91"/>
      <c r="J23" s="92">
        <f>K21</f>
        <v>153456.45441999999</v>
      </c>
      <c r="K23" s="93"/>
      <c r="L23" s="93"/>
      <c r="M23" s="94"/>
      <c r="N23" s="13"/>
      <c r="O23" s="14"/>
    </row>
    <row r="24" spans="1:19" ht="29.3" customHeight="1" x14ac:dyDescent="0.2">
      <c r="A24" s="7"/>
      <c r="B24" s="95" t="s">
        <v>54</v>
      </c>
      <c r="C24" s="9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/>
    </row>
    <row r="25" spans="1:19" x14ac:dyDescent="0.2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/>
    </row>
    <row r="26" spans="1:19" ht="73" customHeight="1" thickBo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9" ht="8.1999999999999993" customHeight="1" thickBot="1" x14ac:dyDescent="0.25"/>
    <row r="28" spans="1:19" ht="17.7" x14ac:dyDescent="0.2">
      <c r="A28" s="96" t="s">
        <v>51</v>
      </c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9"/>
    </row>
    <row r="29" spans="1:19" ht="15.05" x14ac:dyDescent="0.2">
      <c r="A29" s="84" t="s">
        <v>25</v>
      </c>
      <c r="B29" s="85"/>
      <c r="C29" s="82">
        <f>G21</f>
        <v>2500000</v>
      </c>
      <c r="D29" s="86" t="s">
        <v>63</v>
      </c>
      <c r="E29" s="87"/>
      <c r="F29" s="30">
        <v>375000</v>
      </c>
      <c r="G29" s="29" t="s">
        <v>81</v>
      </c>
      <c r="H29" s="88">
        <v>203262.64191500001</v>
      </c>
      <c r="I29" s="89"/>
      <c r="J29" s="29" t="s">
        <v>47</v>
      </c>
      <c r="K29" s="30">
        <v>0</v>
      </c>
      <c r="L29" s="29" t="s">
        <v>48</v>
      </c>
      <c r="M29" s="30">
        <v>0</v>
      </c>
      <c r="N29" s="29" t="s">
        <v>49</v>
      </c>
      <c r="O29" s="32">
        <v>0</v>
      </c>
    </row>
    <row r="30" spans="1:19" ht="15.05" x14ac:dyDescent="0.2">
      <c r="A30" s="84" t="s">
        <v>50</v>
      </c>
      <c r="B30" s="85"/>
      <c r="C30" s="82">
        <f>M21</f>
        <v>1743862.3381700001</v>
      </c>
      <c r="D30" s="86" t="s">
        <v>26</v>
      </c>
      <c r="E30" s="87"/>
      <c r="F30" s="30">
        <v>179552.04499999998</v>
      </c>
      <c r="G30" s="29" t="s">
        <v>27</v>
      </c>
      <c r="H30" s="88">
        <v>337867.13631000003</v>
      </c>
      <c r="I30" s="89"/>
      <c r="J30" s="29" t="s">
        <v>28</v>
      </c>
      <c r="K30" s="30">
        <v>0</v>
      </c>
      <c r="L30" s="29" t="s">
        <v>29</v>
      </c>
      <c r="M30" s="30">
        <v>0</v>
      </c>
      <c r="N30" s="29" t="s">
        <v>30</v>
      </c>
      <c r="O30" s="32">
        <v>0</v>
      </c>
    </row>
    <row r="31" spans="1:19" ht="15.05" x14ac:dyDescent="0.2">
      <c r="A31" s="84" t="s">
        <v>36</v>
      </c>
      <c r="B31" s="85"/>
      <c r="C31" s="82">
        <f>O21</f>
        <v>756137.66183</v>
      </c>
      <c r="D31" s="86" t="s">
        <v>31</v>
      </c>
      <c r="E31" s="87"/>
      <c r="F31" s="30">
        <v>172632.84100000001</v>
      </c>
      <c r="G31" s="29" t="s">
        <v>32</v>
      </c>
      <c r="H31" s="88">
        <f>K21</f>
        <v>153456.45441999999</v>
      </c>
      <c r="I31" s="89"/>
      <c r="J31" s="29" t="s">
        <v>33</v>
      </c>
      <c r="K31" s="30">
        <v>0</v>
      </c>
      <c r="L31" s="29" t="s">
        <v>34</v>
      </c>
      <c r="M31" s="30">
        <v>0</v>
      </c>
      <c r="N31" s="29" t="s">
        <v>35</v>
      </c>
      <c r="O31" s="32">
        <v>0</v>
      </c>
    </row>
    <row r="32" spans="1:19" ht="15.05" x14ac:dyDescent="0.2">
      <c r="A32" s="84"/>
      <c r="B32" s="85"/>
      <c r="C32" s="31"/>
      <c r="D32" s="86" t="s">
        <v>37</v>
      </c>
      <c r="E32" s="87"/>
      <c r="F32" s="30">
        <v>102296.65</v>
      </c>
      <c r="G32" s="29" t="s">
        <v>38</v>
      </c>
      <c r="H32" s="88">
        <v>0</v>
      </c>
      <c r="I32" s="89"/>
      <c r="J32" s="29" t="s">
        <v>39</v>
      </c>
      <c r="K32" s="30">
        <v>0</v>
      </c>
      <c r="L32" s="29" t="s">
        <v>40</v>
      </c>
      <c r="M32" s="30">
        <v>0</v>
      </c>
      <c r="N32" s="29" t="s">
        <v>41</v>
      </c>
      <c r="O32" s="32">
        <v>0</v>
      </c>
    </row>
    <row r="33" spans="1:15" ht="15.05" x14ac:dyDescent="0.2">
      <c r="A33" s="84"/>
      <c r="B33" s="85"/>
      <c r="C33" s="31"/>
      <c r="D33" s="86" t="s">
        <v>42</v>
      </c>
      <c r="E33" s="87"/>
      <c r="F33" s="30">
        <v>219794.569525</v>
      </c>
      <c r="G33" s="29" t="s">
        <v>43</v>
      </c>
      <c r="H33" s="88">
        <v>0</v>
      </c>
      <c r="I33" s="89"/>
      <c r="J33" s="29" t="s">
        <v>44</v>
      </c>
      <c r="K33" s="30">
        <v>0</v>
      </c>
      <c r="L33" s="29" t="s">
        <v>45</v>
      </c>
      <c r="M33" s="30">
        <v>0</v>
      </c>
      <c r="N33" s="29" t="s">
        <v>46</v>
      </c>
      <c r="O33" s="32">
        <v>0</v>
      </c>
    </row>
    <row r="34" spans="1:15" ht="18.350000000000001" thickBot="1" x14ac:dyDescent="0.25">
      <c r="A34" s="25"/>
      <c r="B34" s="26"/>
      <c r="C34" s="26"/>
      <c r="D34" s="26"/>
      <c r="E34" s="26"/>
      <c r="F34" s="36"/>
      <c r="G34" s="36"/>
      <c r="H34" s="27"/>
      <c r="I34" s="35"/>
      <c r="J34" s="26"/>
      <c r="K34" s="26"/>
      <c r="L34" s="26"/>
      <c r="M34" s="26"/>
      <c r="N34" s="26"/>
      <c r="O34" s="28"/>
    </row>
    <row r="37" spans="1:15" x14ac:dyDescent="0.2">
      <c r="F37" s="59">
        <f>H30*0.7</f>
        <v>236506.995417</v>
      </c>
    </row>
    <row r="38" spans="1:15" x14ac:dyDescent="0.2">
      <c r="F38" s="59">
        <f>H30-F37</f>
        <v>101360.14089300003</v>
      </c>
    </row>
    <row r="39" spans="1:15" x14ac:dyDescent="0.2">
      <c r="F39" s="59">
        <f>F38*0.11</f>
        <v>11149.615498230003</v>
      </c>
    </row>
  </sheetData>
  <mergeCells count="62">
    <mergeCell ref="A1:O1"/>
    <mergeCell ref="A2:O2"/>
    <mergeCell ref="A3:B3"/>
    <mergeCell ref="C3:E3"/>
    <mergeCell ref="G3:L3"/>
    <mergeCell ref="N3:O3"/>
    <mergeCell ref="A4:B4"/>
    <mergeCell ref="C4:E4"/>
    <mergeCell ref="G4:L4"/>
    <mergeCell ref="N4:O4"/>
    <mergeCell ref="A5:B5"/>
    <mergeCell ref="C5:E5"/>
    <mergeCell ref="G5:L5"/>
    <mergeCell ref="N5:O5"/>
    <mergeCell ref="A6:B6"/>
    <mergeCell ref="C6:E6"/>
    <mergeCell ref="G6:L6"/>
    <mergeCell ref="N6:O6"/>
    <mergeCell ref="A7:A8"/>
    <mergeCell ref="B7:C8"/>
    <mergeCell ref="D7:D8"/>
    <mergeCell ref="E7:E8"/>
    <mergeCell ref="F7:F8"/>
    <mergeCell ref="G7:G8"/>
    <mergeCell ref="B16:C16"/>
    <mergeCell ref="H7:I7"/>
    <mergeCell ref="J7:K7"/>
    <mergeCell ref="L7:M7"/>
    <mergeCell ref="N7:O7"/>
    <mergeCell ref="B9:C9"/>
    <mergeCell ref="B10:C10"/>
    <mergeCell ref="B11:C11"/>
    <mergeCell ref="B12:C12"/>
    <mergeCell ref="B13:C13"/>
    <mergeCell ref="B14:C14"/>
    <mergeCell ref="B15:C15"/>
    <mergeCell ref="A29:B29"/>
    <mergeCell ref="D29:E29"/>
    <mergeCell ref="H29:I29"/>
    <mergeCell ref="B17:C17"/>
    <mergeCell ref="B18:C18"/>
    <mergeCell ref="B19:C19"/>
    <mergeCell ref="B20:C20"/>
    <mergeCell ref="A21:F21"/>
    <mergeCell ref="A22:I22"/>
    <mergeCell ref="J22:M22"/>
    <mergeCell ref="G23:I23"/>
    <mergeCell ref="J23:M23"/>
    <mergeCell ref="B24:C24"/>
    <mergeCell ref="A28:O28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</mergeCells>
  <printOptions horizontalCentered="1" verticalCentered="1" gridLines="1"/>
  <pageMargins left="0.23622047244094491" right="3.937007874015748E-2" top="0.19685039370078741" bottom="0.15748031496062992" header="0.31496062992125984" footer="0.31496062992125984"/>
  <pageSetup paperSize="9" scale="4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Option Button 1">
              <controlPr defaultSize="0" autoFill="0" autoLine="0" autoPict="0">
                <anchor moveWithCells="1">
                  <from>
                    <xdr:col>14</xdr:col>
                    <xdr:colOff>382385</xdr:colOff>
                    <xdr:row>2</xdr:row>
                    <xdr:rowOff>0</xdr:rowOff>
                  </from>
                  <to>
                    <xdr:col>14</xdr:col>
                    <xdr:colOff>1055716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Option Button 2">
              <controlPr defaultSize="0" autoFill="0" autoLine="0" autoPict="0">
                <anchor moveWithCells="1">
                  <from>
                    <xdr:col>13</xdr:col>
                    <xdr:colOff>507076</xdr:colOff>
                    <xdr:row>1</xdr:row>
                    <xdr:rowOff>232756</xdr:rowOff>
                  </from>
                  <to>
                    <xdr:col>14</xdr:col>
                    <xdr:colOff>49876</xdr:colOff>
                    <xdr:row>3</xdr:row>
                    <xdr:rowOff>8313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D8034283E8046A0DF0646209DCE74" ma:contentTypeVersion="0" ma:contentTypeDescription="Create a new document." ma:contentTypeScope="" ma:versionID="e846278f3ca44eb8f1ad1d6cfcf6eb6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31AD32-41B8-4464-9E99-A508ACA5C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B774CB7-5969-470D-B239-225E9C77FDB8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8509988-61A0-4359-A736-181DAE491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14</vt:i4>
      </vt:variant>
    </vt:vector>
  </HeadingPairs>
  <TitlesOfParts>
    <vt:vector size="21" baseType="lpstr">
      <vt:lpstr>BMS 01</vt:lpstr>
      <vt:lpstr>BMS 02</vt:lpstr>
      <vt:lpstr>BMS 03</vt:lpstr>
      <vt:lpstr>BMS 04</vt:lpstr>
      <vt:lpstr>BMS 05</vt:lpstr>
      <vt:lpstr>BMS 06</vt:lpstr>
      <vt:lpstr>BMS 07</vt:lpstr>
      <vt:lpstr>'BMS 01'!Area_de_impressao</vt:lpstr>
      <vt:lpstr>'BMS 02'!Area_de_impressao</vt:lpstr>
      <vt:lpstr>'BMS 03'!Area_de_impressao</vt:lpstr>
      <vt:lpstr>'BMS 04'!Area_de_impressao</vt:lpstr>
      <vt:lpstr>'BMS 05'!Area_de_impressao</vt:lpstr>
      <vt:lpstr>'BMS 06'!Area_de_impressao</vt:lpstr>
      <vt:lpstr>'BMS 07'!Area_de_impressao</vt:lpstr>
      <vt:lpstr>'BMS 01'!Titulos_de_impressao</vt:lpstr>
      <vt:lpstr>'BMS 02'!Titulos_de_impressao</vt:lpstr>
      <vt:lpstr>'BMS 03'!Titulos_de_impressao</vt:lpstr>
      <vt:lpstr>'BMS 04'!Titulos_de_impressao</vt:lpstr>
      <vt:lpstr>'BMS 05'!Titulos_de_impressao</vt:lpstr>
      <vt:lpstr>'BMS 06'!Titulos_de_impressao</vt:lpstr>
      <vt:lpstr>'BMS 07'!Titulos_de_impressao</vt:lpstr>
    </vt:vector>
  </TitlesOfParts>
  <Company>Eletriman Engenharia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Medição de Serviços Realizados</dc:subject>
  <dc:creator>Nilson Tomas Guzzo Junior</dc:creator>
  <cp:lastModifiedBy>Gabriel Rodrigues</cp:lastModifiedBy>
  <cp:lastPrinted>2022-12-13T18:16:36Z</cp:lastPrinted>
  <dcterms:created xsi:type="dcterms:W3CDTF">2000-05-02T11:23:12Z</dcterms:created>
  <dcterms:modified xsi:type="dcterms:W3CDTF">2026-07-01T12:53:42Z</dcterms:modified>
  <cp:category>Gerenciamento de Projetos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0x01010043BD8034283E8046A0DF0646209DCE74</vt:lpwstr>
  </property>
</Properties>
</file>