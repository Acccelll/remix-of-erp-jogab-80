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ff13526d67f82881/JOGAB/MONTAGENS E CONSTRUÇÕES/ENGENHARIA/OBRAS/210 - COPI/MEDIÇÕES/"/>
    </mc:Choice>
  </mc:AlternateContent>
  <xr:revisionPtr revIDLastSave="1822" documentId="8_{2B3E2CDE-6CB6-4FB0-8AF8-90C3AAD65209}" xr6:coauthVersionLast="47" xr6:coauthVersionMax="47" xr10:uidLastSave="{7190183A-3DAA-4649-B3AB-D64BFD795A3C}"/>
  <bookViews>
    <workbookView xWindow="-118" yWindow="-118" windowWidth="25370" windowHeight="13667" tabRatio="736" activeTab="1" xr2:uid="{00000000-000D-0000-FFFF-FFFF00000000}"/>
  </bookViews>
  <sheets>
    <sheet name="BMS 01" sheetId="942" r:id="rId1"/>
    <sheet name="BMS 02" sheetId="944" r:id="rId2"/>
  </sheets>
  <definedNames>
    <definedName name="_xlnm._FilterDatabase" localSheetId="0" hidden="1">'BMS 01'!$A$1:$O$27</definedName>
    <definedName name="_xlnm._FilterDatabase" localSheetId="1" hidden="1">'BMS 02'!$A$1:$O$27</definedName>
    <definedName name="_xlnm.Print_Area" localSheetId="0">'BMS 01'!$A$1:$O$37</definedName>
    <definedName name="_xlnm.Print_Area" localSheetId="1">'BMS 02'!$A$1:$O$37</definedName>
    <definedName name="TABLE" localSheetId="0">'BMS 01'!#REF!</definedName>
    <definedName name="TABLE" localSheetId="1">'BMS 02'!#REF!</definedName>
    <definedName name="TABLE_2" localSheetId="0">'BMS 01'!#REF!</definedName>
    <definedName name="TABLE_2" localSheetId="1">'BMS 02'!#REF!</definedName>
    <definedName name="_xlnm.Print_Titles" localSheetId="0">'BMS 01'!$7:$8</definedName>
    <definedName name="_xlnm.Print_Titles" localSheetId="1">'BMS 02'!$7:$8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2" i="944" l="1"/>
  <c r="R13" i="944"/>
  <c r="R14" i="944"/>
  <c r="R17" i="944"/>
  <c r="R18" i="944"/>
  <c r="R19" i="944"/>
  <c r="R20" i="944"/>
  <c r="R21" i="944"/>
  <c r="R22" i="944"/>
  <c r="R23" i="944"/>
  <c r="R10" i="944"/>
  <c r="F40" i="944"/>
  <c r="F41" i="944" s="1"/>
  <c r="F42" i="944" s="1"/>
  <c r="L23" i="944"/>
  <c r="N23" i="944" s="1"/>
  <c r="O23" i="944" s="1"/>
  <c r="K23" i="944"/>
  <c r="G23" i="944"/>
  <c r="I23" i="944" s="1"/>
  <c r="L22" i="944"/>
  <c r="N22" i="944" s="1"/>
  <c r="K22" i="944"/>
  <c r="G22" i="944"/>
  <c r="I22" i="944" s="1"/>
  <c r="L21" i="944"/>
  <c r="N21" i="944" s="1"/>
  <c r="O21" i="944" s="1"/>
  <c r="K21" i="944"/>
  <c r="G21" i="944"/>
  <c r="I21" i="944" s="1"/>
  <c r="L20" i="944"/>
  <c r="N20" i="944" s="1"/>
  <c r="O20" i="944" s="1"/>
  <c r="K20" i="944"/>
  <c r="G20" i="944"/>
  <c r="I20" i="944" s="1"/>
  <c r="L19" i="944"/>
  <c r="N19" i="944" s="1"/>
  <c r="K19" i="944"/>
  <c r="G19" i="944"/>
  <c r="I19" i="944" s="1"/>
  <c r="L18" i="944"/>
  <c r="N18" i="944" s="1"/>
  <c r="O18" i="944" s="1"/>
  <c r="K18" i="944"/>
  <c r="G18" i="944"/>
  <c r="I18" i="944" s="1"/>
  <c r="L17" i="944"/>
  <c r="N17" i="944" s="1"/>
  <c r="K17" i="944"/>
  <c r="G17" i="944"/>
  <c r="I17" i="944" s="1"/>
  <c r="L16" i="944"/>
  <c r="N16" i="944" s="1"/>
  <c r="K16" i="944"/>
  <c r="G16" i="944"/>
  <c r="I16" i="944" s="1"/>
  <c r="L15" i="944"/>
  <c r="N15" i="944" s="1"/>
  <c r="O15" i="944" s="1"/>
  <c r="K15" i="944"/>
  <c r="G15" i="944"/>
  <c r="I15" i="944" s="1"/>
  <c r="L14" i="944"/>
  <c r="N14" i="944" s="1"/>
  <c r="K14" i="944"/>
  <c r="G14" i="944"/>
  <c r="I14" i="944" s="1"/>
  <c r="L13" i="944"/>
  <c r="N13" i="944" s="1"/>
  <c r="O13" i="944" s="1"/>
  <c r="K13" i="944"/>
  <c r="G13" i="944"/>
  <c r="I13" i="944" s="1"/>
  <c r="L12" i="944"/>
  <c r="N12" i="944" s="1"/>
  <c r="O12" i="944" s="1"/>
  <c r="K12" i="944"/>
  <c r="G12" i="944"/>
  <c r="I12" i="944" s="1"/>
  <c r="L11" i="944"/>
  <c r="N11" i="944" s="1"/>
  <c r="K11" i="944"/>
  <c r="G11" i="944"/>
  <c r="I11" i="944" s="1"/>
  <c r="L10" i="944"/>
  <c r="N10" i="944" s="1"/>
  <c r="K10" i="944"/>
  <c r="G10" i="944"/>
  <c r="I10" i="944" s="1"/>
  <c r="L9" i="944"/>
  <c r="N9" i="944" s="1"/>
  <c r="F9" i="944"/>
  <c r="K9" i="944" s="1"/>
  <c r="J12" i="942"/>
  <c r="R16" i="944" l="1"/>
  <c r="R15" i="944"/>
  <c r="R11" i="944"/>
  <c r="O10" i="944"/>
  <c r="O24" i="944" s="1"/>
  <c r="O14" i="944"/>
  <c r="O22" i="944"/>
  <c r="M12" i="944"/>
  <c r="M17" i="944"/>
  <c r="M13" i="944"/>
  <c r="M20" i="944"/>
  <c r="O19" i="944"/>
  <c r="O11" i="944"/>
  <c r="O16" i="944"/>
  <c r="G9" i="944"/>
  <c r="M19" i="944"/>
  <c r="M15" i="944"/>
  <c r="M10" i="944"/>
  <c r="O9" i="944"/>
  <c r="O17" i="944"/>
  <c r="M18" i="944"/>
  <c r="M16" i="944"/>
  <c r="M22" i="944"/>
  <c r="M21" i="944"/>
  <c r="M14" i="944"/>
  <c r="M11" i="944"/>
  <c r="M23" i="944"/>
  <c r="K24" i="944"/>
  <c r="F34" i="944" s="1"/>
  <c r="F40" i="942"/>
  <c r="F41" i="942" s="1"/>
  <c r="F42" i="942" s="1"/>
  <c r="L23" i="942"/>
  <c r="N23" i="942" s="1"/>
  <c r="L22" i="942"/>
  <c r="N22" i="942" s="1"/>
  <c r="L21" i="942"/>
  <c r="N21" i="942" s="1"/>
  <c r="L20" i="942"/>
  <c r="N20" i="942" s="1"/>
  <c r="L19" i="942"/>
  <c r="N19" i="942" s="1"/>
  <c r="L18" i="942"/>
  <c r="N18" i="942" s="1"/>
  <c r="L17" i="942"/>
  <c r="N17" i="942" s="1"/>
  <c r="L16" i="942"/>
  <c r="N16" i="942" s="1"/>
  <c r="L15" i="942"/>
  <c r="N15" i="942" s="1"/>
  <c r="L14" i="942"/>
  <c r="N14" i="942" s="1"/>
  <c r="L13" i="942"/>
  <c r="N13" i="942" s="1"/>
  <c r="L12" i="942"/>
  <c r="N12" i="942" s="1"/>
  <c r="L11" i="942"/>
  <c r="N11" i="942" s="1"/>
  <c r="L10" i="942"/>
  <c r="N10" i="942" s="1"/>
  <c r="K23" i="942"/>
  <c r="K22" i="942"/>
  <c r="K21" i="942"/>
  <c r="K20" i="942"/>
  <c r="K19" i="942"/>
  <c r="K18" i="942"/>
  <c r="K17" i="942"/>
  <c r="K16" i="942"/>
  <c r="K15" i="942"/>
  <c r="K14" i="942"/>
  <c r="K13" i="942"/>
  <c r="K12" i="942"/>
  <c r="K11" i="942"/>
  <c r="K10" i="942"/>
  <c r="G23" i="942"/>
  <c r="G22" i="942"/>
  <c r="I22" i="942" s="1"/>
  <c r="G21" i="942"/>
  <c r="I21" i="942" s="1"/>
  <c r="G20" i="942"/>
  <c r="I20" i="942" s="1"/>
  <c r="G19" i="942"/>
  <c r="I19" i="942" s="1"/>
  <c r="G18" i="942"/>
  <c r="I18" i="942" s="1"/>
  <c r="G17" i="942"/>
  <c r="I17" i="942" s="1"/>
  <c r="G16" i="942"/>
  <c r="I16" i="942" s="1"/>
  <c r="G15" i="942"/>
  <c r="G14" i="942"/>
  <c r="I14" i="942" s="1"/>
  <c r="G13" i="942"/>
  <c r="I13" i="942" s="1"/>
  <c r="G12" i="942"/>
  <c r="I12" i="942" s="1"/>
  <c r="G11" i="942"/>
  <c r="I11" i="942" s="1"/>
  <c r="G10" i="942"/>
  <c r="I10" i="942" s="1"/>
  <c r="F9" i="942"/>
  <c r="G9" i="942" s="1"/>
  <c r="I9" i="942" s="1"/>
  <c r="G24" i="944" l="1"/>
  <c r="C32" i="944" s="1"/>
  <c r="I9" i="944"/>
  <c r="J24" i="944"/>
  <c r="J26" i="944"/>
  <c r="C34" i="944"/>
  <c r="N24" i="944"/>
  <c r="M16" i="942"/>
  <c r="O16" i="942"/>
  <c r="O17" i="942"/>
  <c r="O10" i="942"/>
  <c r="M13" i="942"/>
  <c r="M14" i="942"/>
  <c r="O15" i="942"/>
  <c r="O23" i="942"/>
  <c r="G24" i="942"/>
  <c r="O18" i="942"/>
  <c r="M19" i="942"/>
  <c r="O19" i="942"/>
  <c r="M20" i="942"/>
  <c r="M18" i="942"/>
  <c r="M17" i="942"/>
  <c r="M10" i="942"/>
  <c r="M21" i="942"/>
  <c r="M22" i="942"/>
  <c r="O21" i="942"/>
  <c r="O20" i="942"/>
  <c r="I23" i="942"/>
  <c r="M23" i="942" s="1"/>
  <c r="O11" i="942"/>
  <c r="O22" i="942"/>
  <c r="M11" i="942"/>
  <c r="O12" i="942"/>
  <c r="I15" i="942"/>
  <c r="M15" i="942" s="1"/>
  <c r="M12" i="942"/>
  <c r="O13" i="942"/>
  <c r="O14" i="942"/>
  <c r="K24" i="942"/>
  <c r="L9" i="942"/>
  <c r="N9" i="942" s="1"/>
  <c r="O9" i="942" s="1"/>
  <c r="K9" i="942"/>
  <c r="M9" i="944" l="1"/>
  <c r="M24" i="944" s="1"/>
  <c r="I24" i="944"/>
  <c r="H24" i="944" s="1"/>
  <c r="O24" i="942"/>
  <c r="M9" i="942"/>
  <c r="C32" i="942"/>
  <c r="I24" i="942"/>
  <c r="H24" i="942" s="1"/>
  <c r="C33" i="944" l="1"/>
  <c r="L24" i="944"/>
  <c r="J24" i="942"/>
  <c r="F33" i="942"/>
  <c r="J26" i="942"/>
  <c r="M24" i="942"/>
  <c r="L24" i="942" l="1"/>
  <c r="C33" i="942"/>
  <c r="N24" i="942"/>
  <c r="C34" i="9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2E1CFDB5-D7DF-4909-BD0B-8784F46BD771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3E42CB9D-93E0-453E-A541-61F6CE8B86DE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836968CD-AA94-4E9E-8110-D6165D6071AF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80B010ED-DE45-4244-977A-41CB6EB27375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DC114B53-1DDB-42C7-8B01-51316153554C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34640DC8-3F00-4BAA-BD43-EC10CBF22BDA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B415FBAA-2532-4AF0-8D1A-3BF7B02F25FB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1D06DEF8-AF7B-46E5-8B00-E1E095222FA9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4BA7506B-7760-4507-AAFA-61FC1BD96B45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ADE82874-58FB-4109-8CCC-51041CE2440E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sharedStrings.xml><?xml version="1.0" encoding="utf-8"?>
<sst xmlns="http://schemas.openxmlformats.org/spreadsheetml/2006/main" count="203" uniqueCount="81">
  <si>
    <t xml:space="preserve">Contratada: </t>
  </si>
  <si>
    <t xml:space="preserve">Serviço/Obra:  </t>
  </si>
  <si>
    <t xml:space="preserve">Data:  </t>
  </si>
  <si>
    <t>Valor (R$)</t>
  </si>
  <si>
    <t>Saldo Atual</t>
  </si>
  <si>
    <t>Ítem</t>
  </si>
  <si>
    <t>Descrição dos Serviços</t>
  </si>
  <si>
    <t>Quant.</t>
  </si>
  <si>
    <t>U.M.</t>
  </si>
  <si>
    <t>Valor(R$)</t>
  </si>
  <si>
    <t>Observações:</t>
  </si>
  <si>
    <t>BOLETIM DE MEDIÇÃO DE SERVIÇO - BMS</t>
  </si>
  <si>
    <t xml:space="preserve">Boletim de Medição Nº:   </t>
  </si>
  <si>
    <t>Cond. Pagto:</t>
  </si>
  <si>
    <t>Acumulado até mês anterior</t>
  </si>
  <si>
    <t>Executado no mês</t>
  </si>
  <si>
    <t>SUB TOTAL</t>
  </si>
  <si>
    <t>Acumulado até a data</t>
  </si>
  <si>
    <t xml:space="preserve">Folha nº </t>
  </si>
  <si>
    <t>Gerenciamento Aliada:</t>
  </si>
  <si>
    <t>Preço Unitário (R$)</t>
  </si>
  <si>
    <t>VALOR TOTAL (R$)</t>
  </si>
  <si>
    <t>Total Desta Medição</t>
  </si>
  <si>
    <t xml:space="preserve">Nome do Projeto:     </t>
  </si>
  <si>
    <r>
      <t>Período:</t>
    </r>
    <r>
      <rPr>
        <sz val="9"/>
        <rFont val="Arial"/>
        <family val="2"/>
      </rPr>
      <t xml:space="preserve"> </t>
    </r>
  </si>
  <si>
    <t>VALOR CONTRATUAL</t>
  </si>
  <si>
    <t>MED. 01</t>
  </si>
  <si>
    <t>MED. 06</t>
  </si>
  <si>
    <t>MED. 11</t>
  </si>
  <si>
    <t>MED. 16</t>
  </si>
  <si>
    <t>MED. 21</t>
  </si>
  <si>
    <t>MED. 02</t>
  </si>
  <si>
    <t>MED. 07</t>
  </si>
  <si>
    <t>MED. 12</t>
  </si>
  <si>
    <t>MED. 17</t>
  </si>
  <si>
    <t>MED. 22</t>
  </si>
  <si>
    <t>SALDO CONTRATUAL ($)</t>
  </si>
  <si>
    <t>MED. 03</t>
  </si>
  <si>
    <t>MED. 08</t>
  </si>
  <si>
    <t>MED. 13</t>
  </si>
  <si>
    <t>MED. 18</t>
  </si>
  <si>
    <t>MED. 23</t>
  </si>
  <si>
    <t>MED. 04</t>
  </si>
  <si>
    <t>MED. 09</t>
  </si>
  <si>
    <t>MED. 14</t>
  </si>
  <si>
    <t>MED. 19</t>
  </si>
  <si>
    <t>MED. 24</t>
  </si>
  <si>
    <t>MED. 10</t>
  </si>
  <si>
    <t>MED. 15</t>
  </si>
  <si>
    <t>MED. 20</t>
  </si>
  <si>
    <t>VALOR TOTAL ACUMULADO ( $ )</t>
  </si>
  <si>
    <t>HISTÓRICO</t>
  </si>
  <si>
    <t>vb</t>
  </si>
  <si>
    <t>PROJETOS, MOBILIZAÇÕES E CANTEIRO</t>
  </si>
  <si>
    <t>JOGAB MONTAGENS E CONSTRUÇÕES</t>
  </si>
  <si>
    <t>Contrato:</t>
  </si>
  <si>
    <t xml:space="preserve">Valor Total Contrato(R$):   </t>
  </si>
  <si>
    <t>BMS 01</t>
  </si>
  <si>
    <t>28 DDL</t>
  </si>
  <si>
    <t>Cofco - Unidade Sebastianópolis</t>
  </si>
  <si>
    <t>ADIANT.</t>
  </si>
  <si>
    <t>VIENA</t>
  </si>
  <si>
    <t>SERVIÇOS COMPLEMENTARES</t>
  </si>
  <si>
    <t>ADIANTAMENTO - 10%</t>
  </si>
  <si>
    <t>ADUTORAS, RESERVATÓRIOS E TRAVESSIAS DE APP</t>
  </si>
  <si>
    <t>19/03/2026 - 19/03/2026</t>
  </si>
  <si>
    <t>RESERVATÓRIO GEMA</t>
  </si>
  <si>
    <t>ADUTORA - RV SÃO JOSÉ &gt; RV PASSAGEM 01</t>
  </si>
  <si>
    <t>ADUTORA - RV PASSAGEM 01 &gt; RV PASSAGEM 02</t>
  </si>
  <si>
    <t>ADUTORA - RV PASSAGEM 02 &gt; RV COVITINGA</t>
  </si>
  <si>
    <t>RESERVATÓRIO PASSAGEM 01 - 1.850m³</t>
  </si>
  <si>
    <t>RESERVATÓRIO PASSAGEM 02 - 2.100m³</t>
  </si>
  <si>
    <t>BOMBEAMENTO - RV PASSAGEM 02</t>
  </si>
  <si>
    <t>TRAVESSIA APP 03 - TUBO CAMISA+CONDUTOR</t>
  </si>
  <si>
    <t>TRAVESSIA APP 07 - TUBO CAMISA+CONDUTOR</t>
  </si>
  <si>
    <t>TRAVESSIA APP 04 - TUBULAÇÃO PEAD</t>
  </si>
  <si>
    <t>TRAVESSIA APP 05 - TUBULAÇÃO PEAD</t>
  </si>
  <si>
    <t>TRAVESSIA APP 06 - TUBULAÇÃO PEAD</t>
  </si>
  <si>
    <t>BMS 02</t>
  </si>
  <si>
    <t>Real(%)</t>
  </si>
  <si>
    <t>20/03/2026 - 10/06/2026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</si>
</sst>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"/>
    <numFmt numFmtId="166" formatCode="d/m/yyyy;@"/>
    <numFmt numFmtId="167" formatCode="_-* #,##0.0000000000000000000_-;\-* #,##0.0000000000000000000_-;_-* &quot;-&quot;??_-;_-@_-"/>
    <numFmt numFmtId="168" formatCode="&quot;R$&quot;\ #,##0.00"/>
    <numFmt numFmtId="169" formatCode="0000.00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sz val="8"/>
      <color rgb="FF000000"/>
      <name val="Tahoma"/>
      <family val="2"/>
    </font>
    <font>
      <sz val="14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bgColor rgb="FFA19E8F"/>
      </patternFill>
    </fill>
    <fill>
      <patternFill patternType="solid">
        <fgColor rgb="FFE5E1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1" fillId="0" borderId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0" fillId="2" borderId="0" xfId="0" applyFill="1"/>
    <xf numFmtId="0" fontId="0" fillId="4" borderId="0" xfId="0" applyFill="1"/>
    <xf numFmtId="0" fontId="0" fillId="4" borderId="2" xfId="0" applyFill="1" applyBorder="1"/>
    <xf numFmtId="0" fontId="0" fillId="2" borderId="4" xfId="0" applyFill="1" applyBorder="1"/>
    <xf numFmtId="0" fontId="0" fillId="2" borderId="2" xfId="0" applyFill="1" applyBorder="1"/>
    <xf numFmtId="0" fontId="0" fillId="0" borderId="4" xfId="0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4" borderId="1" xfId="0" applyFill="1" applyBorder="1"/>
    <xf numFmtId="0" fontId="0" fillId="4" borderId="6" xfId="0" applyFill="1" applyBorder="1"/>
    <xf numFmtId="9" fontId="4" fillId="0" borderId="20" xfId="1" applyFont="1" applyFill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164" fontId="7" fillId="0" borderId="8" xfId="2" applyFont="1" applyFill="1" applyBorder="1" applyAlignment="1">
      <alignment horizontal="right" vertical="center"/>
    </xf>
    <xf numFmtId="164" fontId="7" fillId="3" borderId="21" xfId="2" applyFont="1" applyFill="1" applyBorder="1" applyAlignment="1">
      <alignment horizontal="right" vertical="center"/>
    </xf>
    <xf numFmtId="164" fontId="7" fillId="0" borderId="29" xfId="0" applyNumberFormat="1" applyFont="1" applyBorder="1" applyAlignment="1">
      <alignment horizontal="right" vertical="center"/>
    </xf>
    <xf numFmtId="0" fontId="4" fillId="0" borderId="20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7" fillId="0" borderId="7" xfId="1" applyNumberFormat="1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65" fontId="15" fillId="7" borderId="5" xfId="3" applyNumberFormat="1" applyFont="1" applyFill="1" applyBorder="1" applyAlignment="1">
      <alignment horizontal="center" vertical="top"/>
    </xf>
    <xf numFmtId="165" fontId="15" fillId="7" borderId="1" xfId="3" applyNumberFormat="1" applyFont="1" applyFill="1" applyBorder="1" applyAlignment="1">
      <alignment horizontal="center" vertical="top"/>
    </xf>
    <xf numFmtId="165" fontId="9" fillId="7" borderId="1" xfId="3" applyNumberFormat="1" applyFont="1" applyFill="1" applyBorder="1" applyAlignment="1">
      <alignment horizontal="center" vertical="top"/>
    </xf>
    <xf numFmtId="165" fontId="15" fillId="7" borderId="6" xfId="3" applyNumberFormat="1" applyFont="1" applyFill="1" applyBorder="1" applyAlignment="1">
      <alignment horizontal="center" vertical="top"/>
    </xf>
    <xf numFmtId="165" fontId="12" fillId="7" borderId="20" xfId="3" applyNumberFormat="1" applyFont="1" applyFill="1" applyBorder="1" applyAlignment="1">
      <alignment horizontal="center" vertical="center"/>
    </xf>
    <xf numFmtId="164" fontId="12" fillId="7" borderId="20" xfId="2" applyFont="1" applyFill="1" applyBorder="1" applyAlignment="1">
      <alignment horizontal="center" vertical="center"/>
    </xf>
    <xf numFmtId="166" fontId="12" fillId="7" borderId="21" xfId="3" applyNumberFormat="1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8" xfId="2" applyFont="1" applyFill="1" applyBorder="1" applyAlignment="1">
      <alignment horizontal="center" vertical="center"/>
    </xf>
    <xf numFmtId="10" fontId="7" fillId="0" borderId="7" xfId="1" applyNumberFormat="1" applyFont="1" applyFill="1" applyBorder="1" applyAlignment="1">
      <alignment horizontal="center" vertical="center"/>
    </xf>
    <xf numFmtId="10" fontId="7" fillId="3" borderId="22" xfId="1" applyNumberFormat="1" applyFont="1" applyFill="1" applyBorder="1" applyAlignment="1">
      <alignment horizontal="center" vertical="center"/>
    </xf>
    <xf numFmtId="168" fontId="15" fillId="7" borderId="1" xfId="3" applyNumberFormat="1" applyFont="1" applyFill="1" applyBorder="1" applyAlignment="1">
      <alignment horizontal="center" vertical="top"/>
    </xf>
    <xf numFmtId="169" fontId="15" fillId="7" borderId="1" xfId="3" applyNumberFormat="1" applyFont="1" applyFill="1" applyBorder="1" applyAlignment="1">
      <alignment horizontal="center" vertical="top"/>
    </xf>
    <xf numFmtId="0" fontId="10" fillId="9" borderId="17" xfId="0" applyFont="1" applyFill="1" applyBorder="1" applyAlignment="1">
      <alignment vertical="center"/>
    </xf>
    <xf numFmtId="0" fontId="10" fillId="9" borderId="19" xfId="0" applyFont="1" applyFill="1" applyBorder="1" applyAlignment="1">
      <alignment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164" fontId="12" fillId="5" borderId="40" xfId="2" applyFont="1" applyFill="1" applyBorder="1" applyAlignment="1">
      <alignment horizontal="center" vertical="center"/>
    </xf>
    <xf numFmtId="10" fontId="12" fillId="5" borderId="41" xfId="1" applyNumberFormat="1" applyFont="1" applyFill="1" applyBorder="1" applyAlignment="1">
      <alignment horizontal="center" vertical="center"/>
    </xf>
    <xf numFmtId="10" fontId="12" fillId="5" borderId="42" xfId="1" applyNumberFormat="1" applyFont="1" applyFill="1" applyBorder="1" applyAlignment="1">
      <alignment horizontal="center" vertical="center"/>
    </xf>
    <xf numFmtId="164" fontId="12" fillId="5" borderId="43" xfId="2" applyFont="1" applyFill="1" applyBorder="1" applyAlignment="1">
      <alignment horizontal="center" vertical="center"/>
    </xf>
    <xf numFmtId="164" fontId="12" fillId="5" borderId="44" xfId="2" applyFont="1" applyFill="1" applyBorder="1" applyAlignment="1">
      <alignment horizontal="center" vertical="center"/>
    </xf>
    <xf numFmtId="164" fontId="12" fillId="5" borderId="44" xfId="0" applyNumberFormat="1" applyFont="1" applyFill="1" applyBorder="1" applyAlignment="1">
      <alignment horizontal="center" vertical="center"/>
    </xf>
    <xf numFmtId="164" fontId="7" fillId="3" borderId="8" xfId="2" applyFont="1" applyFill="1" applyBorder="1" applyAlignment="1">
      <alignment vertical="center"/>
    </xf>
    <xf numFmtId="0" fontId="7" fillId="0" borderId="16" xfId="1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4" fontId="7" fillId="0" borderId="46" xfId="0" applyNumberFormat="1" applyFont="1" applyBorder="1" applyAlignment="1">
      <alignment horizontal="right" vertical="center"/>
    </xf>
    <xf numFmtId="10" fontId="7" fillId="0" borderId="16" xfId="1" applyNumberFormat="1" applyFont="1" applyFill="1" applyBorder="1" applyAlignment="1">
      <alignment horizontal="center" vertical="center"/>
    </xf>
    <xf numFmtId="164" fontId="7" fillId="0" borderId="47" xfId="2" applyFont="1" applyFill="1" applyBorder="1" applyAlignment="1">
      <alignment horizontal="right" vertical="center"/>
    </xf>
    <xf numFmtId="10" fontId="7" fillId="3" borderId="48" xfId="1" applyNumberFormat="1" applyFont="1" applyFill="1" applyBorder="1" applyAlignment="1">
      <alignment horizontal="center" vertical="center"/>
    </xf>
    <xf numFmtId="164" fontId="7" fillId="3" borderId="45" xfId="2" applyFont="1" applyFill="1" applyBorder="1" applyAlignment="1">
      <alignment horizontal="right" vertical="center"/>
    </xf>
    <xf numFmtId="164" fontId="7" fillId="3" borderId="47" xfId="2" applyFont="1" applyFill="1" applyBorder="1" applyAlignment="1">
      <alignment vertical="center"/>
    </xf>
    <xf numFmtId="43" fontId="0" fillId="0" borderId="0" xfId="0" applyNumberFormat="1"/>
    <xf numFmtId="0" fontId="12" fillId="0" borderId="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7" fillId="0" borderId="24" xfId="1" applyNumberFormat="1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164" fontId="7" fillId="0" borderId="33" xfId="0" applyNumberFormat="1" applyFont="1" applyBorder="1" applyAlignment="1">
      <alignment horizontal="right" vertical="center"/>
    </xf>
    <xf numFmtId="10" fontId="7" fillId="0" borderId="24" xfId="1" applyNumberFormat="1" applyFont="1" applyFill="1" applyBorder="1" applyAlignment="1">
      <alignment horizontal="center" vertical="center"/>
    </xf>
    <xf numFmtId="164" fontId="7" fillId="0" borderId="26" xfId="2" applyFont="1" applyFill="1" applyBorder="1" applyAlignment="1">
      <alignment horizontal="right" vertical="center"/>
    </xf>
    <xf numFmtId="10" fontId="7" fillId="3" borderId="30" xfId="1" applyNumberFormat="1" applyFont="1" applyFill="1" applyBorder="1" applyAlignment="1">
      <alignment horizontal="center" vertical="center"/>
    </xf>
    <xf numFmtId="164" fontId="7" fillId="3" borderId="39" xfId="2" applyFont="1" applyFill="1" applyBorder="1" applyAlignment="1">
      <alignment horizontal="right" vertical="center"/>
    </xf>
    <xf numFmtId="164" fontId="7" fillId="3" borderId="26" xfId="2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5" fontId="12" fillId="7" borderId="23" xfId="3" applyNumberFormat="1" applyFont="1" applyFill="1" applyBorder="1" applyAlignment="1">
      <alignment horizontal="left" vertical="center"/>
    </xf>
    <xf numFmtId="165" fontId="12" fillId="7" borderId="22" xfId="3" applyNumberFormat="1" applyFont="1" applyFill="1" applyBorder="1" applyAlignment="1">
      <alignment horizontal="left" vertical="center"/>
    </xf>
    <xf numFmtId="165" fontId="12" fillId="7" borderId="21" xfId="3" applyNumberFormat="1" applyFont="1" applyFill="1" applyBorder="1" applyAlignment="1">
      <alignment horizontal="center" vertical="center"/>
    </xf>
    <xf numFmtId="165" fontId="12" fillId="7" borderId="22" xfId="3" applyNumberFormat="1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22" xfId="2" applyFont="1" applyFill="1" applyBorder="1" applyAlignment="1">
      <alignment horizontal="center" vertical="center"/>
    </xf>
    <xf numFmtId="165" fontId="9" fillId="6" borderId="31" xfId="3" applyNumberFormat="1" applyFont="1" applyFill="1" applyBorder="1" applyAlignment="1">
      <alignment horizontal="center" vertical="center"/>
    </xf>
    <xf numFmtId="165" fontId="9" fillId="6" borderId="32" xfId="3" applyNumberFormat="1" applyFont="1" applyFill="1" applyBorder="1" applyAlignment="1">
      <alignment horizontal="center" vertical="center"/>
    </xf>
    <xf numFmtId="165" fontId="9" fillId="6" borderId="9" xfId="3" applyNumberFormat="1" applyFont="1" applyFill="1" applyBorder="1" applyAlignment="1">
      <alignment horizontal="center" vertical="center"/>
    </xf>
    <xf numFmtId="165" fontId="9" fillId="6" borderId="33" xfId="3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11" fillId="9" borderId="19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164" fontId="13" fillId="9" borderId="17" xfId="2" applyFont="1" applyFill="1" applyBorder="1" applyAlignment="1">
      <alignment horizontal="center" vertical="center"/>
    </xf>
    <xf numFmtId="164" fontId="13" fillId="9" borderId="19" xfId="2" applyFont="1" applyFill="1" applyBorder="1" applyAlignment="1">
      <alignment horizontal="center" vertical="center"/>
    </xf>
    <xf numFmtId="164" fontId="13" fillId="9" borderId="18" xfId="2" applyFont="1" applyFill="1" applyBorder="1" applyAlignment="1">
      <alignment horizontal="center" vertical="center"/>
    </xf>
    <xf numFmtId="0" fontId="12" fillId="0" borderId="39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5" fillId="5" borderId="3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5" xfId="0" quotePrefix="1" applyFont="1" applyBorder="1" applyAlignment="1">
      <alignment horizontal="left" vertical="center"/>
    </xf>
    <xf numFmtId="4" fontId="1" fillId="0" borderId="15" xfId="0" applyNumberFormat="1" applyFont="1" applyBorder="1" applyAlignment="1">
      <alignment horizontal="center" vertical="center"/>
    </xf>
    <xf numFmtId="4" fontId="1" fillId="0" borderId="27" xfId="0" applyNumberFormat="1" applyFont="1" applyBorder="1" applyAlignment="1">
      <alignment horizontal="center" vertical="center"/>
    </xf>
    <xf numFmtId="17" fontId="1" fillId="8" borderId="15" xfId="0" applyNumberFormat="1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2" xfId="0" quotePrefix="1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167" fontId="1" fillId="0" borderId="20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1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3" xfId="0" quotePrefix="1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2" fillId="0" borderId="45" xfId="0" applyFont="1" applyBorder="1" applyAlignment="1">
      <alignment horizontal="left" vertical="center" wrapText="1"/>
    </xf>
    <xf numFmtId="0" fontId="12" fillId="0" borderId="46" xfId="0" applyFont="1" applyBorder="1" applyAlignment="1">
      <alignment horizontal="left" vertical="center" wrapText="1"/>
    </xf>
    <xf numFmtId="10" fontId="6" fillId="0" borderId="0" xfId="0" applyNumberFormat="1" applyFont="1"/>
  </cellXfs>
  <cellStyles count="5">
    <cellStyle name="Moeda" xfId="2" builtinId="4"/>
    <cellStyle name="Normal" xfId="0" builtinId="0"/>
    <cellStyle name="Normal 2 15" xfId="4" xr:uid="{0AD35769-41EF-41BE-A9FB-EBA4CF12EB0B}"/>
    <cellStyle name="Normal_EMC1ª069" xfId="3" xr:uid="{00000000-0005-0000-0000-000002000000}"/>
    <cellStyle name="Porcentagem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E1DE"/>
      <color rgb="FFDEDEDE"/>
      <color rgb="FF99FF33"/>
      <color rgb="FFCCFF33"/>
      <color rgb="FF8C5660"/>
      <color rgb="FFA01C8D"/>
      <color rgb="FF666666"/>
      <color rgb="FFA19E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16385" name="Option 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16386" name="Option 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22260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27</xdr:row>
      <xdr:rowOff>88899</xdr:rowOff>
    </xdr:from>
    <xdr:to>
      <xdr:col>2</xdr:col>
      <xdr:colOff>925286</xdr:colOff>
      <xdr:row>28</xdr:row>
      <xdr:rowOff>179613</xdr:rowOff>
    </xdr:to>
    <xdr:sp macro="" textlink="">
      <xdr:nvSpPr>
        <xdr:cNvPr id="3" name="Texto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72075" y="13378179"/>
          <a:ext cx="2058311" cy="25835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27</xdr:row>
      <xdr:rowOff>76199</xdr:rowOff>
    </xdr:from>
    <xdr:to>
      <xdr:col>9</xdr:col>
      <xdr:colOff>743032</xdr:colOff>
      <xdr:row>28</xdr:row>
      <xdr:rowOff>166913</xdr:rowOff>
    </xdr:to>
    <xdr:sp macro="" textlink="">
      <xdr:nvSpPr>
        <xdr:cNvPr id="4" name="Texto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577287" y="13365479"/>
          <a:ext cx="3159125" cy="25835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27</xdr:row>
      <xdr:rowOff>93434</xdr:rowOff>
    </xdr:from>
    <xdr:to>
      <xdr:col>2</xdr:col>
      <xdr:colOff>1673306</xdr:colOff>
      <xdr:row>27</xdr:row>
      <xdr:rowOff>94793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 flipH="1">
          <a:off x="996044" y="13382714"/>
          <a:ext cx="3382362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27</xdr:row>
      <xdr:rowOff>87084</xdr:rowOff>
    </xdr:from>
    <xdr:to>
      <xdr:col>9</xdr:col>
      <xdr:colOff>787027</xdr:colOff>
      <xdr:row>27</xdr:row>
      <xdr:rowOff>88443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H="1">
          <a:off x="5470526" y="4985655"/>
          <a:ext cx="6134180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28</xdr:row>
      <xdr:rowOff>567865</xdr:rowOff>
    </xdr:from>
    <xdr:to>
      <xdr:col>2</xdr:col>
      <xdr:colOff>938864</xdr:colOff>
      <xdr:row>28</xdr:row>
      <xdr:rowOff>821865</xdr:rowOff>
    </xdr:to>
    <xdr:sp macro="" textlink="">
      <xdr:nvSpPr>
        <xdr:cNvPr id="7" name="Texto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574798" y="14024785"/>
          <a:ext cx="2069166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28</xdr:row>
      <xdr:rowOff>555165</xdr:rowOff>
    </xdr:from>
    <xdr:to>
      <xdr:col>9</xdr:col>
      <xdr:colOff>745755</xdr:colOff>
      <xdr:row>28</xdr:row>
      <xdr:rowOff>809165</xdr:rowOff>
    </xdr:to>
    <xdr:sp macro="" textlink="">
      <xdr:nvSpPr>
        <xdr:cNvPr id="8" name="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5580010" y="14012085"/>
          <a:ext cx="315912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28</xdr:row>
      <xdr:rowOff>586007</xdr:rowOff>
    </xdr:from>
    <xdr:to>
      <xdr:col>2</xdr:col>
      <xdr:colOff>1676029</xdr:colOff>
      <xdr:row>28</xdr:row>
      <xdr:rowOff>587366</xdr:rowOff>
    </xdr:to>
    <xdr:sp macro="" textlink="">
      <xdr:nvSpPr>
        <xdr:cNvPr id="9" name="Lin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 flipH="1">
          <a:off x="998767" y="14042927"/>
          <a:ext cx="3382362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28</xdr:row>
      <xdr:rowOff>579657</xdr:rowOff>
    </xdr:from>
    <xdr:to>
      <xdr:col>9</xdr:col>
      <xdr:colOff>748929</xdr:colOff>
      <xdr:row>28</xdr:row>
      <xdr:rowOff>581016</xdr:rowOff>
    </xdr:to>
    <xdr:sp macro="" textlink="">
      <xdr:nvSpPr>
        <xdr:cNvPr id="10" name="Lin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 flipH="1">
          <a:off x="5566322" y="14036577"/>
          <a:ext cx="3175987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18433" name="Option 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18434" name="Option 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208059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27</xdr:row>
      <xdr:rowOff>88899</xdr:rowOff>
    </xdr:from>
    <xdr:to>
      <xdr:col>2</xdr:col>
      <xdr:colOff>925286</xdr:colOff>
      <xdr:row>28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557528" y="7520477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27</xdr:row>
      <xdr:rowOff>76199</xdr:rowOff>
    </xdr:from>
    <xdr:to>
      <xdr:col>9</xdr:col>
      <xdr:colOff>743032</xdr:colOff>
      <xdr:row>28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5414496" y="7507777"/>
          <a:ext cx="6101831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27</xdr:row>
      <xdr:rowOff>93434</xdr:rowOff>
    </xdr:from>
    <xdr:to>
      <xdr:col>2</xdr:col>
      <xdr:colOff>1673306</xdr:colOff>
      <xdr:row>27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ShapeType="1"/>
        </xdr:cNvSpPr>
      </xdr:nvSpPr>
      <xdr:spPr bwMode="auto">
        <a:xfrm flipH="1">
          <a:off x="981497" y="752501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27</xdr:row>
      <xdr:rowOff>87084</xdr:rowOff>
    </xdr:from>
    <xdr:to>
      <xdr:col>9</xdr:col>
      <xdr:colOff>787027</xdr:colOff>
      <xdr:row>27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ShapeType="1"/>
        </xdr:cNvSpPr>
      </xdr:nvSpPr>
      <xdr:spPr bwMode="auto">
        <a:xfrm flipH="1">
          <a:off x="5441629" y="7518662"/>
          <a:ext cx="6118693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28</xdr:row>
      <xdr:rowOff>567865</xdr:rowOff>
    </xdr:from>
    <xdr:to>
      <xdr:col>2</xdr:col>
      <xdr:colOff>938864</xdr:colOff>
      <xdr:row>28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560251" y="8157385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28</xdr:row>
      <xdr:rowOff>555165</xdr:rowOff>
    </xdr:from>
    <xdr:to>
      <xdr:col>9</xdr:col>
      <xdr:colOff>745755</xdr:colOff>
      <xdr:row>28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5417219" y="8144685"/>
          <a:ext cx="6101831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28</xdr:row>
      <xdr:rowOff>586007</xdr:rowOff>
    </xdr:from>
    <xdr:to>
      <xdr:col>2</xdr:col>
      <xdr:colOff>1676029</xdr:colOff>
      <xdr:row>28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 flipH="1">
          <a:off x="984220" y="8175527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28</xdr:row>
      <xdr:rowOff>579657</xdr:rowOff>
    </xdr:from>
    <xdr:to>
      <xdr:col>9</xdr:col>
      <xdr:colOff>748929</xdr:colOff>
      <xdr:row>28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H="1">
          <a:off x="5403531" y="8169177"/>
          <a:ext cx="6118693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1E6B-DE6D-40D3-8C62-DBA5B2CF00BF}">
  <dimension ref="A1:O42"/>
  <sheetViews>
    <sheetView showGridLines="0" topLeftCell="E16" zoomScale="70" zoomScaleNormal="70" zoomScaleSheetLayoutView="70" zoomScalePageLayoutView="50" workbookViewId="0">
      <selection activeCell="F33" sqref="F33"/>
    </sheetView>
  </sheetViews>
  <sheetFormatPr defaultRowHeight="12.45" x14ac:dyDescent="0.2"/>
  <cols>
    <col min="1" max="1" width="8.375" customWidth="1"/>
    <col min="2" max="2" width="31.125" customWidth="1"/>
    <col min="3" max="3" width="29.5" customWidth="1"/>
    <col min="4" max="5" width="7.5" customWidth="1"/>
    <col min="6" max="6" width="24.5" customWidth="1"/>
    <col min="7" max="7" width="21" customWidth="1"/>
    <col min="8" max="8" width="11" customWidth="1"/>
    <col min="9" max="9" width="21.5" customWidth="1"/>
    <col min="10" max="10" width="14" customWidth="1"/>
    <col min="11" max="11" width="26.125" customWidth="1"/>
    <col min="12" max="12" width="12.5" customWidth="1"/>
    <col min="13" max="13" width="24.875" customWidth="1"/>
    <col min="14" max="14" width="16.125" bestFit="1" customWidth="1"/>
    <col min="15" max="15" width="26" bestFit="1" customWidth="1"/>
  </cols>
  <sheetData>
    <row r="1" spans="1:15" ht="64.5" customHeight="1" thickBot="1" x14ac:dyDescent="0.25">
      <c r="A1" s="139" t="s">
        <v>11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1"/>
    </row>
    <row r="2" spans="1:15" ht="20.149999999999999" customHeight="1" x14ac:dyDescent="0.2">
      <c r="A2" s="142" t="s">
        <v>59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4"/>
    </row>
    <row r="3" spans="1:15" ht="20.149999999999999" customHeight="1" x14ac:dyDescent="0.2">
      <c r="A3" s="145" t="s">
        <v>0</v>
      </c>
      <c r="B3" s="146"/>
      <c r="C3" s="147" t="s">
        <v>54</v>
      </c>
      <c r="D3" s="147"/>
      <c r="E3" s="147"/>
      <c r="F3" s="15" t="s">
        <v>1</v>
      </c>
      <c r="G3" s="148" t="s">
        <v>64</v>
      </c>
      <c r="H3" s="149"/>
      <c r="I3" s="149"/>
      <c r="J3" s="149"/>
      <c r="K3" s="149"/>
      <c r="L3" s="150"/>
      <c r="M3" s="21" t="s">
        <v>19</v>
      </c>
      <c r="N3" s="151"/>
      <c r="O3" s="136"/>
    </row>
    <row r="4" spans="1:15" ht="20.149999999999999" customHeight="1" x14ac:dyDescent="0.2">
      <c r="A4" s="131" t="s">
        <v>23</v>
      </c>
      <c r="B4" s="132"/>
      <c r="C4" s="133" t="s">
        <v>61</v>
      </c>
      <c r="D4" s="133"/>
      <c r="E4" s="133"/>
      <c r="F4" s="15"/>
      <c r="G4" s="134"/>
      <c r="H4" s="134"/>
      <c r="I4" s="134"/>
      <c r="J4" s="134"/>
      <c r="K4" s="134"/>
      <c r="L4" s="134"/>
      <c r="M4" s="21" t="s">
        <v>18</v>
      </c>
      <c r="N4" s="135">
        <v>0</v>
      </c>
      <c r="O4" s="136"/>
    </row>
    <row r="5" spans="1:15" ht="20.149999999999999" customHeight="1" x14ac:dyDescent="0.2">
      <c r="A5" s="131" t="s">
        <v>55</v>
      </c>
      <c r="B5" s="132"/>
      <c r="C5" s="133">
        <v>4509910004</v>
      </c>
      <c r="D5" s="133"/>
      <c r="E5" s="133"/>
      <c r="F5" s="16" t="s">
        <v>12</v>
      </c>
      <c r="G5" s="137" t="s">
        <v>57</v>
      </c>
      <c r="H5" s="137"/>
      <c r="I5" s="137"/>
      <c r="J5" s="137"/>
      <c r="K5" s="137"/>
      <c r="L5" s="137"/>
      <c r="M5" s="21" t="s">
        <v>2</v>
      </c>
      <c r="N5" s="138">
        <v>46100</v>
      </c>
      <c r="O5" s="136"/>
    </row>
    <row r="6" spans="1:15" ht="20.149999999999999" customHeight="1" thickBot="1" x14ac:dyDescent="0.25">
      <c r="A6" s="110" t="s">
        <v>56</v>
      </c>
      <c r="B6" s="111"/>
      <c r="C6" s="112">
        <v>4413500</v>
      </c>
      <c r="D6" s="113"/>
      <c r="E6" s="113"/>
      <c r="F6" s="17" t="s">
        <v>24</v>
      </c>
      <c r="G6" s="114" t="s">
        <v>65</v>
      </c>
      <c r="H6" s="115"/>
      <c r="I6" s="115"/>
      <c r="J6" s="115"/>
      <c r="K6" s="115"/>
      <c r="L6" s="116"/>
      <c r="M6" s="22" t="s">
        <v>13</v>
      </c>
      <c r="N6" s="117" t="s">
        <v>58</v>
      </c>
      <c r="O6" s="118"/>
    </row>
    <row r="7" spans="1:15" s="1" customFormat="1" ht="24.05" customHeight="1" x14ac:dyDescent="0.25">
      <c r="A7" s="119" t="s">
        <v>5</v>
      </c>
      <c r="B7" s="121" t="s">
        <v>6</v>
      </c>
      <c r="C7" s="122"/>
      <c r="D7" s="125" t="s">
        <v>7</v>
      </c>
      <c r="E7" s="127" t="s">
        <v>8</v>
      </c>
      <c r="F7" s="125" t="s">
        <v>20</v>
      </c>
      <c r="G7" s="129" t="s">
        <v>21</v>
      </c>
      <c r="H7" s="102" t="s">
        <v>14</v>
      </c>
      <c r="I7" s="103"/>
      <c r="J7" s="104" t="s">
        <v>15</v>
      </c>
      <c r="K7" s="104"/>
      <c r="L7" s="105" t="s">
        <v>17</v>
      </c>
      <c r="M7" s="106"/>
      <c r="N7" s="109" t="s">
        <v>4</v>
      </c>
      <c r="O7" s="106"/>
    </row>
    <row r="8" spans="1:15" s="1" customFormat="1" ht="15.05" customHeight="1" thickBot="1" x14ac:dyDescent="0.3">
      <c r="A8" s="120"/>
      <c r="B8" s="123"/>
      <c r="C8" s="124"/>
      <c r="D8" s="126"/>
      <c r="E8" s="128"/>
      <c r="F8" s="126"/>
      <c r="G8" s="130"/>
      <c r="H8" s="40" t="s">
        <v>7</v>
      </c>
      <c r="I8" s="41" t="s">
        <v>9</v>
      </c>
      <c r="J8" s="42" t="s">
        <v>7</v>
      </c>
      <c r="K8" s="43" t="s">
        <v>3</v>
      </c>
      <c r="L8" s="40" t="s">
        <v>7</v>
      </c>
      <c r="M8" s="41" t="s">
        <v>3</v>
      </c>
      <c r="N8" s="44" t="s">
        <v>7</v>
      </c>
      <c r="O8" s="45" t="s">
        <v>9</v>
      </c>
    </row>
    <row r="9" spans="1:15" s="3" customFormat="1" ht="20" customHeight="1" x14ac:dyDescent="0.2">
      <c r="A9" s="63">
        <v>0</v>
      </c>
      <c r="B9" s="100" t="s">
        <v>63</v>
      </c>
      <c r="C9" s="101" t="s">
        <v>53</v>
      </c>
      <c r="D9" s="64">
        <v>1</v>
      </c>
      <c r="E9" s="65" t="s">
        <v>52</v>
      </c>
      <c r="F9" s="66">
        <f>C6*0.1</f>
        <v>441350</v>
      </c>
      <c r="G9" s="66">
        <f t="shared" ref="G9:G23" si="0">F9*D9</f>
        <v>441350</v>
      </c>
      <c r="H9" s="67">
        <v>1</v>
      </c>
      <c r="I9" s="68">
        <f t="shared" ref="I9:I23" si="1">H9*G9</f>
        <v>441350</v>
      </c>
      <c r="J9" s="69"/>
      <c r="K9" s="70">
        <f>J9*F9*D9</f>
        <v>0</v>
      </c>
      <c r="L9" s="67">
        <f t="shared" ref="L9:M23" si="2">J9+H9</f>
        <v>1</v>
      </c>
      <c r="M9" s="68">
        <f t="shared" si="2"/>
        <v>441350</v>
      </c>
      <c r="N9" s="69">
        <f t="shared" ref="N9:N23" si="3">D9/D9-L9</f>
        <v>0</v>
      </c>
      <c r="O9" s="71">
        <f t="shared" ref="O9:O23" si="4">N9*G9</f>
        <v>0</v>
      </c>
    </row>
    <row r="10" spans="1:15" s="3" customFormat="1" ht="20" customHeight="1" x14ac:dyDescent="0.2">
      <c r="A10" s="62">
        <v>1</v>
      </c>
      <c r="B10" s="107" t="s">
        <v>53</v>
      </c>
      <c r="C10" s="108" t="s">
        <v>53</v>
      </c>
      <c r="D10" s="23">
        <v>1</v>
      </c>
      <c r="E10" s="24" t="s">
        <v>52</v>
      </c>
      <c r="F10" s="20">
        <v>170235</v>
      </c>
      <c r="G10" s="20">
        <f t="shared" si="0"/>
        <v>170235</v>
      </c>
      <c r="H10" s="34"/>
      <c r="I10" s="18">
        <f t="shared" si="1"/>
        <v>0</v>
      </c>
      <c r="J10" s="35"/>
      <c r="K10" s="19">
        <f t="shared" ref="K10:K23" si="5">J10*F10*D10</f>
        <v>0</v>
      </c>
      <c r="L10" s="34">
        <f t="shared" si="2"/>
        <v>0</v>
      </c>
      <c r="M10" s="18">
        <f t="shared" si="2"/>
        <v>0</v>
      </c>
      <c r="N10" s="35">
        <f t="shared" si="3"/>
        <v>1</v>
      </c>
      <c r="O10" s="52">
        <f t="shared" si="4"/>
        <v>170235</v>
      </c>
    </row>
    <row r="11" spans="1:15" s="3" customFormat="1" ht="20" customHeight="1" x14ac:dyDescent="0.2">
      <c r="A11" s="62">
        <v>2</v>
      </c>
      <c r="B11" s="107" t="s">
        <v>66</v>
      </c>
      <c r="C11" s="108"/>
      <c r="D11" s="23">
        <v>1</v>
      </c>
      <c r="E11" s="24" t="s">
        <v>52</v>
      </c>
      <c r="F11" s="20">
        <v>69228.900000000009</v>
      </c>
      <c r="G11" s="20">
        <f t="shared" si="0"/>
        <v>69228.900000000009</v>
      </c>
      <c r="H11" s="34"/>
      <c r="I11" s="18">
        <f t="shared" si="1"/>
        <v>0</v>
      </c>
      <c r="J11" s="35"/>
      <c r="K11" s="19">
        <f t="shared" si="5"/>
        <v>0</v>
      </c>
      <c r="L11" s="34">
        <f t="shared" si="2"/>
        <v>0</v>
      </c>
      <c r="M11" s="18">
        <f t="shared" si="2"/>
        <v>0</v>
      </c>
      <c r="N11" s="35">
        <f t="shared" si="3"/>
        <v>1</v>
      </c>
      <c r="O11" s="52">
        <f t="shared" si="4"/>
        <v>69228.900000000009</v>
      </c>
    </row>
    <row r="12" spans="1:15" s="3" customFormat="1" ht="20" customHeight="1" x14ac:dyDescent="0.2">
      <c r="A12" s="62">
        <v>3</v>
      </c>
      <c r="B12" s="107" t="s">
        <v>67</v>
      </c>
      <c r="C12" s="108"/>
      <c r="D12" s="23">
        <v>1</v>
      </c>
      <c r="E12" s="24" t="s">
        <v>52</v>
      </c>
      <c r="F12" s="20">
        <v>497437.14599999995</v>
      </c>
      <c r="G12" s="20">
        <f t="shared" si="0"/>
        <v>497437.14599999995</v>
      </c>
      <c r="H12" s="34"/>
      <c r="I12" s="18">
        <f t="shared" si="1"/>
        <v>0</v>
      </c>
      <c r="J12" s="35">
        <f>(158650-104907.11)/F12</f>
        <v>0.10803955923307747</v>
      </c>
      <c r="K12" s="19">
        <f t="shared" si="5"/>
        <v>53742.89</v>
      </c>
      <c r="L12" s="34">
        <f t="shared" si="2"/>
        <v>0.10803955923307747</v>
      </c>
      <c r="M12" s="18">
        <f t="shared" si="2"/>
        <v>53742.89</v>
      </c>
      <c r="N12" s="35">
        <f t="shared" si="3"/>
        <v>0.89196044076692249</v>
      </c>
      <c r="O12" s="52">
        <f t="shared" si="4"/>
        <v>443694.25599999994</v>
      </c>
    </row>
    <row r="13" spans="1:15" s="3" customFormat="1" ht="20" customHeight="1" x14ac:dyDescent="0.2">
      <c r="A13" s="62">
        <v>4</v>
      </c>
      <c r="B13" s="107" t="s">
        <v>68</v>
      </c>
      <c r="C13" s="108"/>
      <c r="D13" s="23">
        <v>1</v>
      </c>
      <c r="E13" s="24" t="s">
        <v>52</v>
      </c>
      <c r="F13" s="20">
        <v>680695.56</v>
      </c>
      <c r="G13" s="20">
        <f t="shared" si="0"/>
        <v>680695.56</v>
      </c>
      <c r="H13" s="34"/>
      <c r="I13" s="18">
        <f t="shared" si="1"/>
        <v>0</v>
      </c>
      <c r="J13" s="35">
        <v>6.7100000000000007E-2</v>
      </c>
      <c r="K13" s="19">
        <f t="shared" si="5"/>
        <v>45674.67207600001</v>
      </c>
      <c r="L13" s="34">
        <f t="shared" si="2"/>
        <v>6.7100000000000007E-2</v>
      </c>
      <c r="M13" s="18">
        <f t="shared" si="2"/>
        <v>45674.67207600001</v>
      </c>
      <c r="N13" s="35">
        <f t="shared" si="3"/>
        <v>0.93289999999999995</v>
      </c>
      <c r="O13" s="52">
        <f t="shared" si="4"/>
        <v>635020.88792400004</v>
      </c>
    </row>
    <row r="14" spans="1:15" s="3" customFormat="1" ht="20" customHeight="1" x14ac:dyDescent="0.2">
      <c r="A14" s="62">
        <v>5</v>
      </c>
      <c r="B14" s="107" t="s">
        <v>69</v>
      </c>
      <c r="C14" s="108"/>
      <c r="D14" s="23">
        <v>1</v>
      </c>
      <c r="E14" s="24" t="s">
        <v>52</v>
      </c>
      <c r="F14" s="20">
        <v>670050.19799999997</v>
      </c>
      <c r="G14" s="20">
        <f t="shared" si="0"/>
        <v>670050.19799999997</v>
      </c>
      <c r="H14" s="34"/>
      <c r="I14" s="18">
        <f t="shared" si="1"/>
        <v>0</v>
      </c>
      <c r="J14" s="35">
        <v>8.8400000000000006E-2</v>
      </c>
      <c r="K14" s="19">
        <f t="shared" si="5"/>
        <v>59232.437503200003</v>
      </c>
      <c r="L14" s="34">
        <f t="shared" si="2"/>
        <v>8.8400000000000006E-2</v>
      </c>
      <c r="M14" s="18">
        <f t="shared" si="2"/>
        <v>59232.437503200003</v>
      </c>
      <c r="N14" s="35">
        <f t="shared" si="3"/>
        <v>0.91159999999999997</v>
      </c>
      <c r="O14" s="52">
        <f t="shared" si="4"/>
        <v>610817.76049679995</v>
      </c>
    </row>
    <row r="15" spans="1:15" s="3" customFormat="1" ht="20" customHeight="1" x14ac:dyDescent="0.2">
      <c r="A15" s="62">
        <v>6</v>
      </c>
      <c r="B15" s="107" t="s">
        <v>70</v>
      </c>
      <c r="C15" s="108"/>
      <c r="D15" s="23">
        <v>1</v>
      </c>
      <c r="E15" s="24" t="s">
        <v>52</v>
      </c>
      <c r="F15" s="20">
        <v>304668.27</v>
      </c>
      <c r="G15" s="20">
        <f t="shared" si="0"/>
        <v>304668.27</v>
      </c>
      <c r="H15" s="34"/>
      <c r="I15" s="18">
        <f t="shared" si="1"/>
        <v>0</v>
      </c>
      <c r="J15" s="35"/>
      <c r="K15" s="19">
        <f t="shared" si="5"/>
        <v>0</v>
      </c>
      <c r="L15" s="34">
        <f t="shared" si="2"/>
        <v>0</v>
      </c>
      <c r="M15" s="18">
        <f t="shared" si="2"/>
        <v>0</v>
      </c>
      <c r="N15" s="35">
        <f t="shared" si="3"/>
        <v>1</v>
      </c>
      <c r="O15" s="52">
        <f t="shared" si="4"/>
        <v>304668.27</v>
      </c>
    </row>
    <row r="16" spans="1:15" s="3" customFormat="1" ht="20" customHeight="1" x14ac:dyDescent="0.2">
      <c r="A16" s="62">
        <v>7</v>
      </c>
      <c r="B16" s="107" t="s">
        <v>71</v>
      </c>
      <c r="C16" s="108"/>
      <c r="D16" s="23">
        <v>1</v>
      </c>
      <c r="E16" s="24" t="s">
        <v>52</v>
      </c>
      <c r="F16" s="20">
        <v>301630.23000000004</v>
      </c>
      <c r="G16" s="20">
        <f t="shared" si="0"/>
        <v>301630.23000000004</v>
      </c>
      <c r="H16" s="34"/>
      <c r="I16" s="18">
        <f t="shared" si="1"/>
        <v>0</v>
      </c>
      <c r="J16" s="35"/>
      <c r="K16" s="19">
        <f t="shared" si="5"/>
        <v>0</v>
      </c>
      <c r="L16" s="34">
        <f t="shared" si="2"/>
        <v>0</v>
      </c>
      <c r="M16" s="18">
        <f t="shared" si="2"/>
        <v>0</v>
      </c>
      <c r="N16" s="35">
        <f t="shared" si="3"/>
        <v>1</v>
      </c>
      <c r="O16" s="52">
        <f t="shared" si="4"/>
        <v>301630.23000000004</v>
      </c>
    </row>
    <row r="17" spans="1:15" s="3" customFormat="1" ht="20" customHeight="1" x14ac:dyDescent="0.2">
      <c r="A17" s="62">
        <v>8</v>
      </c>
      <c r="B17" s="107" t="s">
        <v>72</v>
      </c>
      <c r="C17" s="108"/>
      <c r="D17" s="23">
        <v>1</v>
      </c>
      <c r="E17" s="24" t="s">
        <v>52</v>
      </c>
      <c r="F17" s="20">
        <v>145324.818</v>
      </c>
      <c r="G17" s="20">
        <f t="shared" si="0"/>
        <v>145324.818</v>
      </c>
      <c r="H17" s="34"/>
      <c r="I17" s="18">
        <f t="shared" si="1"/>
        <v>0</v>
      </c>
      <c r="J17" s="35"/>
      <c r="K17" s="19">
        <f t="shared" si="5"/>
        <v>0</v>
      </c>
      <c r="L17" s="34">
        <f t="shared" si="2"/>
        <v>0</v>
      </c>
      <c r="M17" s="18">
        <f t="shared" si="2"/>
        <v>0</v>
      </c>
      <c r="N17" s="35">
        <f t="shared" si="3"/>
        <v>1</v>
      </c>
      <c r="O17" s="52">
        <f t="shared" si="4"/>
        <v>145324.818</v>
      </c>
    </row>
    <row r="18" spans="1:15" s="3" customFormat="1" ht="20" customHeight="1" x14ac:dyDescent="0.2">
      <c r="A18" s="62">
        <v>9</v>
      </c>
      <c r="B18" s="107" t="s">
        <v>73</v>
      </c>
      <c r="C18" s="108"/>
      <c r="D18" s="23">
        <v>1</v>
      </c>
      <c r="E18" s="24" t="s">
        <v>52</v>
      </c>
      <c r="F18" s="20">
        <v>355922.11745999998</v>
      </c>
      <c r="G18" s="20">
        <f t="shared" si="0"/>
        <v>355922.11745999998</v>
      </c>
      <c r="H18" s="34"/>
      <c r="I18" s="18">
        <f t="shared" si="1"/>
        <v>0</v>
      </c>
      <c r="J18" s="35"/>
      <c r="K18" s="19">
        <f t="shared" si="5"/>
        <v>0</v>
      </c>
      <c r="L18" s="34">
        <f t="shared" si="2"/>
        <v>0</v>
      </c>
      <c r="M18" s="18">
        <f t="shared" si="2"/>
        <v>0</v>
      </c>
      <c r="N18" s="35">
        <f t="shared" si="3"/>
        <v>1</v>
      </c>
      <c r="O18" s="52">
        <f t="shared" si="4"/>
        <v>355922.11745999998</v>
      </c>
    </row>
    <row r="19" spans="1:15" s="3" customFormat="1" ht="20" customHeight="1" x14ac:dyDescent="0.2">
      <c r="A19" s="62">
        <v>10</v>
      </c>
      <c r="B19" s="107" t="s">
        <v>74</v>
      </c>
      <c r="C19" s="108"/>
      <c r="D19" s="23">
        <v>1</v>
      </c>
      <c r="E19" s="24" t="s">
        <v>52</v>
      </c>
      <c r="F19" s="20">
        <v>319867.18253999995</v>
      </c>
      <c r="G19" s="20">
        <f t="shared" si="0"/>
        <v>319867.18253999995</v>
      </c>
      <c r="H19" s="34"/>
      <c r="I19" s="18">
        <f t="shared" si="1"/>
        <v>0</v>
      </c>
      <c r="J19" s="35"/>
      <c r="K19" s="19">
        <f t="shared" si="5"/>
        <v>0</v>
      </c>
      <c r="L19" s="34">
        <f t="shared" si="2"/>
        <v>0</v>
      </c>
      <c r="M19" s="18">
        <f t="shared" si="2"/>
        <v>0</v>
      </c>
      <c r="N19" s="35">
        <f t="shared" si="3"/>
        <v>1</v>
      </c>
      <c r="O19" s="52">
        <f t="shared" si="4"/>
        <v>319867.18253999995</v>
      </c>
    </row>
    <row r="20" spans="1:15" s="3" customFormat="1" ht="20" customHeight="1" x14ac:dyDescent="0.2">
      <c r="A20" s="62">
        <v>11</v>
      </c>
      <c r="B20" s="107" t="s">
        <v>75</v>
      </c>
      <c r="C20" s="108"/>
      <c r="D20" s="23">
        <v>1</v>
      </c>
      <c r="E20" s="24" t="s">
        <v>52</v>
      </c>
      <c r="F20" s="20">
        <v>158004.26999999999</v>
      </c>
      <c r="G20" s="20">
        <f t="shared" si="0"/>
        <v>158004.26999999999</v>
      </c>
      <c r="H20" s="34"/>
      <c r="I20" s="18">
        <f t="shared" si="1"/>
        <v>0</v>
      </c>
      <c r="J20" s="35"/>
      <c r="K20" s="19">
        <f t="shared" si="5"/>
        <v>0</v>
      </c>
      <c r="L20" s="34">
        <f t="shared" si="2"/>
        <v>0</v>
      </c>
      <c r="M20" s="18">
        <f t="shared" si="2"/>
        <v>0</v>
      </c>
      <c r="N20" s="35">
        <f t="shared" si="3"/>
        <v>1</v>
      </c>
      <c r="O20" s="52">
        <f t="shared" si="4"/>
        <v>158004.26999999999</v>
      </c>
    </row>
    <row r="21" spans="1:15" s="3" customFormat="1" ht="20" customHeight="1" x14ac:dyDescent="0.2">
      <c r="A21" s="62">
        <v>12</v>
      </c>
      <c r="B21" s="107" t="s">
        <v>76</v>
      </c>
      <c r="C21" s="108"/>
      <c r="D21" s="23">
        <v>1</v>
      </c>
      <c r="E21" s="24" t="s">
        <v>52</v>
      </c>
      <c r="F21" s="20">
        <v>149082.21</v>
      </c>
      <c r="G21" s="20">
        <f t="shared" si="0"/>
        <v>149082.21</v>
      </c>
      <c r="H21" s="34"/>
      <c r="I21" s="18">
        <f t="shared" si="1"/>
        <v>0</v>
      </c>
      <c r="J21" s="35"/>
      <c r="K21" s="19">
        <f t="shared" si="5"/>
        <v>0</v>
      </c>
      <c r="L21" s="34">
        <f t="shared" si="2"/>
        <v>0</v>
      </c>
      <c r="M21" s="18">
        <f t="shared" si="2"/>
        <v>0</v>
      </c>
      <c r="N21" s="35">
        <f t="shared" si="3"/>
        <v>1</v>
      </c>
      <c r="O21" s="52">
        <f t="shared" si="4"/>
        <v>149082.21</v>
      </c>
    </row>
    <row r="22" spans="1:15" s="3" customFormat="1" ht="20" customHeight="1" x14ac:dyDescent="0.2">
      <c r="A22" s="62">
        <v>13</v>
      </c>
      <c r="B22" s="107" t="s">
        <v>77</v>
      </c>
      <c r="C22" s="108"/>
      <c r="D22" s="23">
        <v>1</v>
      </c>
      <c r="E22" s="24" t="s">
        <v>52</v>
      </c>
      <c r="F22" s="20">
        <v>133289.64000000001</v>
      </c>
      <c r="G22" s="20">
        <f t="shared" si="0"/>
        <v>133289.64000000001</v>
      </c>
      <c r="H22" s="34"/>
      <c r="I22" s="18">
        <f t="shared" si="1"/>
        <v>0</v>
      </c>
      <c r="J22" s="35"/>
      <c r="K22" s="19">
        <f t="shared" si="5"/>
        <v>0</v>
      </c>
      <c r="L22" s="34">
        <f t="shared" si="2"/>
        <v>0</v>
      </c>
      <c r="M22" s="18">
        <f t="shared" si="2"/>
        <v>0</v>
      </c>
      <c r="N22" s="35">
        <f t="shared" si="3"/>
        <v>1</v>
      </c>
      <c r="O22" s="52">
        <f t="shared" si="4"/>
        <v>133289.64000000001</v>
      </c>
    </row>
    <row r="23" spans="1:15" s="3" customFormat="1" ht="20" customHeight="1" thickBot="1" x14ac:dyDescent="0.25">
      <c r="A23" s="72">
        <v>14</v>
      </c>
      <c r="B23" s="152" t="s">
        <v>62</v>
      </c>
      <c r="C23" s="153"/>
      <c r="D23" s="53">
        <v>1</v>
      </c>
      <c r="E23" s="54" t="s">
        <v>52</v>
      </c>
      <c r="F23" s="55">
        <v>16714.457999999999</v>
      </c>
      <c r="G23" s="55">
        <f t="shared" si="0"/>
        <v>16714.457999999999</v>
      </c>
      <c r="H23" s="56"/>
      <c r="I23" s="57">
        <f t="shared" si="1"/>
        <v>0</v>
      </c>
      <c r="J23" s="58"/>
      <c r="K23" s="59">
        <f t="shared" si="5"/>
        <v>0</v>
      </c>
      <c r="L23" s="56">
        <f t="shared" si="2"/>
        <v>0</v>
      </c>
      <c r="M23" s="57">
        <f t="shared" si="2"/>
        <v>0</v>
      </c>
      <c r="N23" s="58">
        <f t="shared" si="3"/>
        <v>1</v>
      </c>
      <c r="O23" s="60">
        <f t="shared" si="4"/>
        <v>16714.457999999999</v>
      </c>
    </row>
    <row r="24" spans="1:15" s="2" customFormat="1" ht="20.149999999999999" customHeight="1" thickBot="1" x14ac:dyDescent="0.3">
      <c r="A24" s="86" t="s">
        <v>16</v>
      </c>
      <c r="B24" s="87"/>
      <c r="C24" s="87"/>
      <c r="D24" s="87"/>
      <c r="E24" s="87"/>
      <c r="F24" s="88"/>
      <c r="G24" s="46">
        <f>SUBTOTAL(9,G9:G23)</f>
        <v>4413499.9999999991</v>
      </c>
      <c r="H24" s="47">
        <f>I24/C6</f>
        <v>0.1</v>
      </c>
      <c r="I24" s="46">
        <f>SUBTOTAL(9,I9:I23)</f>
        <v>441350</v>
      </c>
      <c r="J24" s="48">
        <f>K24/C6</f>
        <v>3.5946527603761186E-2</v>
      </c>
      <c r="K24" s="49">
        <f>SUBTOTAL(9,K9:K23)</f>
        <v>158649.9995792</v>
      </c>
      <c r="L24" s="47">
        <f>M24/C6</f>
        <v>0.13594652760376119</v>
      </c>
      <c r="M24" s="50">
        <f>SUBTOTAL(9,M9:M23)</f>
        <v>599999.99957920006</v>
      </c>
      <c r="N24" s="48">
        <f>O24/C6</f>
        <v>0.86405347239623875</v>
      </c>
      <c r="O24" s="51">
        <f>SUBTOTAL(9,O9:O23)</f>
        <v>3813500.0004207999</v>
      </c>
    </row>
    <row r="25" spans="1:15" ht="20.3" customHeight="1" thickBot="1" x14ac:dyDescent="0.3">
      <c r="A25" s="89" t="s">
        <v>10</v>
      </c>
      <c r="B25" s="90"/>
      <c r="C25" s="90"/>
      <c r="D25" s="90"/>
      <c r="E25" s="90"/>
      <c r="F25" s="90"/>
      <c r="G25" s="90"/>
      <c r="H25" s="90"/>
      <c r="I25" s="91"/>
      <c r="J25" s="92"/>
      <c r="K25" s="93"/>
      <c r="L25" s="93"/>
      <c r="M25" s="94"/>
      <c r="N25" s="5"/>
      <c r="O25" s="6"/>
    </row>
    <row r="26" spans="1:15" ht="20.95" customHeight="1" thickBot="1" x14ac:dyDescent="0.25">
      <c r="A26" s="38"/>
      <c r="B26" s="39"/>
      <c r="C26" s="39"/>
      <c r="D26" s="39"/>
      <c r="E26" s="39"/>
      <c r="F26" s="39"/>
      <c r="G26" s="95" t="s">
        <v>22</v>
      </c>
      <c r="H26" s="95"/>
      <c r="I26" s="96"/>
      <c r="J26" s="97">
        <f>K24</f>
        <v>158649.9995792</v>
      </c>
      <c r="K26" s="98"/>
      <c r="L26" s="98"/>
      <c r="M26" s="99"/>
      <c r="N26" s="13"/>
      <c r="O26" s="14"/>
    </row>
    <row r="27" spans="1:15" ht="29.3" customHeight="1" x14ac:dyDescent="0.2">
      <c r="A27" s="7"/>
      <c r="B27" s="85" t="s">
        <v>54</v>
      </c>
      <c r="C27" s="8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8"/>
    </row>
    <row r="28" spans="1:15" x14ac:dyDescent="0.2">
      <c r="A28" s="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"/>
    </row>
    <row r="29" spans="1:15" ht="73" customHeight="1" thickBo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</row>
    <row r="30" spans="1:15" ht="8.1999999999999993" customHeight="1" thickBot="1" x14ac:dyDescent="0.25"/>
    <row r="31" spans="1:15" ht="17.7" x14ac:dyDescent="0.2">
      <c r="A31" s="81" t="s">
        <v>51</v>
      </c>
      <c r="B31" s="82"/>
      <c r="C31" s="82"/>
      <c r="D31" s="83"/>
      <c r="E31" s="83"/>
      <c r="F31" s="82"/>
      <c r="G31" s="82"/>
      <c r="H31" s="82"/>
      <c r="I31" s="82"/>
      <c r="J31" s="82"/>
      <c r="K31" s="82"/>
      <c r="L31" s="82"/>
      <c r="M31" s="82"/>
      <c r="N31" s="82"/>
      <c r="O31" s="84"/>
    </row>
    <row r="32" spans="1:15" ht="15.05" x14ac:dyDescent="0.2">
      <c r="A32" s="75" t="s">
        <v>25</v>
      </c>
      <c r="B32" s="76"/>
      <c r="C32" s="32">
        <f>G24</f>
        <v>4413499.9999999991</v>
      </c>
      <c r="D32" s="77" t="s">
        <v>60</v>
      </c>
      <c r="E32" s="78"/>
      <c r="F32" s="30">
        <v>441350</v>
      </c>
      <c r="G32" s="29"/>
      <c r="H32" s="79"/>
      <c r="I32" s="80"/>
      <c r="J32" s="29" t="s">
        <v>47</v>
      </c>
      <c r="K32" s="30">
        <v>0</v>
      </c>
      <c r="L32" s="29" t="s">
        <v>48</v>
      </c>
      <c r="M32" s="30">
        <v>0</v>
      </c>
      <c r="N32" s="29" t="s">
        <v>49</v>
      </c>
      <c r="O32" s="33">
        <v>0</v>
      </c>
    </row>
    <row r="33" spans="1:15" ht="15.05" x14ac:dyDescent="0.2">
      <c r="A33" s="75" t="s">
        <v>50</v>
      </c>
      <c r="B33" s="76"/>
      <c r="C33" s="32">
        <f>M24</f>
        <v>599999.99957920006</v>
      </c>
      <c r="D33" s="77" t="s">
        <v>26</v>
      </c>
      <c r="E33" s="78"/>
      <c r="F33" s="30">
        <f>K24</f>
        <v>158649.9995792</v>
      </c>
      <c r="G33" s="29" t="s">
        <v>27</v>
      </c>
      <c r="H33" s="79">
        <v>0</v>
      </c>
      <c r="I33" s="80"/>
      <c r="J33" s="29" t="s">
        <v>28</v>
      </c>
      <c r="K33" s="30">
        <v>0</v>
      </c>
      <c r="L33" s="29" t="s">
        <v>29</v>
      </c>
      <c r="M33" s="30">
        <v>0</v>
      </c>
      <c r="N33" s="29" t="s">
        <v>30</v>
      </c>
      <c r="O33" s="33">
        <v>0</v>
      </c>
    </row>
    <row r="34" spans="1:15" ht="15.05" x14ac:dyDescent="0.2">
      <c r="A34" s="75" t="s">
        <v>36</v>
      </c>
      <c r="B34" s="76"/>
      <c r="C34" s="32">
        <f>O24</f>
        <v>3813500.0004207999</v>
      </c>
      <c r="D34" s="77" t="s">
        <v>31</v>
      </c>
      <c r="E34" s="78"/>
      <c r="F34" s="30">
        <v>0</v>
      </c>
      <c r="G34" s="29" t="s">
        <v>32</v>
      </c>
      <c r="H34" s="79">
        <v>0</v>
      </c>
      <c r="I34" s="80"/>
      <c r="J34" s="29" t="s">
        <v>33</v>
      </c>
      <c r="K34" s="30">
        <v>0</v>
      </c>
      <c r="L34" s="29" t="s">
        <v>34</v>
      </c>
      <c r="M34" s="30">
        <v>0</v>
      </c>
      <c r="N34" s="29" t="s">
        <v>35</v>
      </c>
      <c r="O34" s="33">
        <v>0</v>
      </c>
    </row>
    <row r="35" spans="1:15" ht="15.05" x14ac:dyDescent="0.2">
      <c r="A35" s="75"/>
      <c r="B35" s="76"/>
      <c r="C35" s="31"/>
      <c r="D35" s="77" t="s">
        <v>37</v>
      </c>
      <c r="E35" s="78"/>
      <c r="F35" s="30">
        <v>0</v>
      </c>
      <c r="G35" s="29" t="s">
        <v>38</v>
      </c>
      <c r="H35" s="79">
        <v>0</v>
      </c>
      <c r="I35" s="80"/>
      <c r="J35" s="29" t="s">
        <v>39</v>
      </c>
      <c r="K35" s="30">
        <v>0</v>
      </c>
      <c r="L35" s="29" t="s">
        <v>40</v>
      </c>
      <c r="M35" s="30">
        <v>0</v>
      </c>
      <c r="N35" s="29" t="s">
        <v>41</v>
      </c>
      <c r="O35" s="33">
        <v>0</v>
      </c>
    </row>
    <row r="36" spans="1:15" ht="15.05" x14ac:dyDescent="0.2">
      <c r="A36" s="75"/>
      <c r="B36" s="76"/>
      <c r="C36" s="31"/>
      <c r="D36" s="77" t="s">
        <v>42</v>
      </c>
      <c r="E36" s="78"/>
      <c r="F36" s="30">
        <v>0</v>
      </c>
      <c r="G36" s="29" t="s">
        <v>43</v>
      </c>
      <c r="H36" s="79">
        <v>0</v>
      </c>
      <c r="I36" s="80"/>
      <c r="J36" s="29" t="s">
        <v>44</v>
      </c>
      <c r="K36" s="30">
        <v>0</v>
      </c>
      <c r="L36" s="29" t="s">
        <v>45</v>
      </c>
      <c r="M36" s="30">
        <v>0</v>
      </c>
      <c r="N36" s="29" t="s">
        <v>46</v>
      </c>
      <c r="O36" s="33">
        <v>0</v>
      </c>
    </row>
    <row r="37" spans="1:15" ht="18.350000000000001" thickBot="1" x14ac:dyDescent="0.25">
      <c r="A37" s="25"/>
      <c r="B37" s="26"/>
      <c r="C37" s="26"/>
      <c r="D37" s="26"/>
      <c r="E37" s="26"/>
      <c r="F37" s="37"/>
      <c r="G37" s="37"/>
      <c r="H37" s="27"/>
      <c r="I37" s="36"/>
      <c r="J37" s="26"/>
      <c r="K37" s="26"/>
      <c r="L37" s="26"/>
      <c r="M37" s="26"/>
      <c r="N37" s="26"/>
      <c r="O37" s="28"/>
    </row>
    <row r="40" spans="1:15" x14ac:dyDescent="0.2">
      <c r="F40" s="61">
        <f>F35*0.7</f>
        <v>0</v>
      </c>
    </row>
    <row r="41" spans="1:15" x14ac:dyDescent="0.2">
      <c r="F41" s="61">
        <f>F35-F40</f>
        <v>0</v>
      </c>
    </row>
    <row r="42" spans="1:15" x14ac:dyDescent="0.2">
      <c r="F42" s="61">
        <f>F41*0.11</f>
        <v>0</v>
      </c>
    </row>
  </sheetData>
  <mergeCells count="65">
    <mergeCell ref="B21:C21"/>
    <mergeCell ref="B22:C22"/>
    <mergeCell ref="B23:C23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N7:O7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B9:C9"/>
    <mergeCell ref="H7:I7"/>
    <mergeCell ref="J7:K7"/>
    <mergeCell ref="L7:M7"/>
    <mergeCell ref="B10:C10"/>
    <mergeCell ref="A24:F24"/>
    <mergeCell ref="A25:I25"/>
    <mergeCell ref="J25:M25"/>
    <mergeCell ref="G26:I26"/>
    <mergeCell ref="J26:M26"/>
    <mergeCell ref="A31:O31"/>
    <mergeCell ref="A32:B32"/>
    <mergeCell ref="D32:E32"/>
    <mergeCell ref="H32:I32"/>
    <mergeCell ref="B27:C27"/>
    <mergeCell ref="A33:B33"/>
    <mergeCell ref="D33:E33"/>
    <mergeCell ref="H33:I33"/>
    <mergeCell ref="A36:B36"/>
    <mergeCell ref="D36:E36"/>
    <mergeCell ref="H36:I36"/>
    <mergeCell ref="A34:B34"/>
    <mergeCell ref="D34:E34"/>
    <mergeCell ref="H34:I34"/>
    <mergeCell ref="A35:B35"/>
    <mergeCell ref="D35:E35"/>
    <mergeCell ref="H35:I35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EEF0-320D-4ACD-9947-BD3032EDE974}">
  <dimension ref="A1:R42"/>
  <sheetViews>
    <sheetView showGridLines="0" tabSelected="1" zoomScale="70" zoomScaleNormal="70" zoomScaleSheetLayoutView="70" zoomScalePageLayoutView="50" workbookViewId="0">
      <selection sqref="A1:O1"/>
    </sheetView>
  </sheetViews>
  <sheetFormatPr defaultRowHeight="12.45" x14ac:dyDescent="0.2"/>
  <cols>
    <col min="1" max="1" width="8.375" customWidth="1"/>
    <col min="2" max="2" width="31.125" customWidth="1"/>
    <col min="3" max="3" width="29.5" customWidth="1"/>
    <col min="4" max="5" width="7.5" customWidth="1"/>
    <col min="6" max="6" width="24.5" customWidth="1"/>
    <col min="7" max="7" width="21" customWidth="1"/>
    <col min="8" max="8" width="11" customWidth="1"/>
    <col min="9" max="9" width="21.5" customWidth="1"/>
    <col min="10" max="10" width="14" customWidth="1"/>
    <col min="11" max="11" width="26.125" customWidth="1"/>
    <col min="12" max="12" width="12.5" customWidth="1"/>
    <col min="13" max="13" width="24.875" customWidth="1"/>
    <col min="14" max="14" width="16.125" bestFit="1" customWidth="1"/>
    <col min="15" max="15" width="26" bestFit="1" customWidth="1"/>
  </cols>
  <sheetData>
    <row r="1" spans="1:18" ht="64.5" customHeight="1" thickBot="1" x14ac:dyDescent="0.25">
      <c r="A1" s="139" t="s">
        <v>11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1"/>
    </row>
    <row r="2" spans="1:18" ht="20.149999999999999" customHeight="1" x14ac:dyDescent="0.2">
      <c r="A2" s="142" t="s">
        <v>59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4"/>
    </row>
    <row r="3" spans="1:18" ht="20.149999999999999" customHeight="1" x14ac:dyDescent="0.2">
      <c r="A3" s="145" t="s">
        <v>0</v>
      </c>
      <c r="B3" s="146"/>
      <c r="C3" s="147" t="s">
        <v>54</v>
      </c>
      <c r="D3" s="147"/>
      <c r="E3" s="147"/>
      <c r="F3" s="15" t="s">
        <v>1</v>
      </c>
      <c r="G3" s="148" t="s">
        <v>64</v>
      </c>
      <c r="H3" s="149"/>
      <c r="I3" s="149"/>
      <c r="J3" s="149"/>
      <c r="K3" s="149"/>
      <c r="L3" s="150"/>
      <c r="M3" s="21" t="s">
        <v>19</v>
      </c>
      <c r="N3" s="151"/>
      <c r="O3" s="136"/>
    </row>
    <row r="4" spans="1:18" ht="20.149999999999999" customHeight="1" x14ac:dyDescent="0.2">
      <c r="A4" s="131" t="s">
        <v>23</v>
      </c>
      <c r="B4" s="132"/>
      <c r="C4" s="133" t="s">
        <v>61</v>
      </c>
      <c r="D4" s="133"/>
      <c r="E4" s="133"/>
      <c r="F4" s="15"/>
      <c r="G4" s="134"/>
      <c r="H4" s="134"/>
      <c r="I4" s="134"/>
      <c r="J4" s="134"/>
      <c r="K4" s="134"/>
      <c r="L4" s="134"/>
      <c r="M4" s="21" t="s">
        <v>18</v>
      </c>
      <c r="N4" s="135">
        <v>0</v>
      </c>
      <c r="O4" s="136"/>
    </row>
    <row r="5" spans="1:18" ht="20.149999999999999" customHeight="1" x14ac:dyDescent="0.2">
      <c r="A5" s="131" t="s">
        <v>55</v>
      </c>
      <c r="B5" s="132"/>
      <c r="C5" s="133">
        <v>4509910004</v>
      </c>
      <c r="D5" s="133"/>
      <c r="E5" s="133"/>
      <c r="F5" s="16" t="s">
        <v>12</v>
      </c>
      <c r="G5" s="137" t="s">
        <v>78</v>
      </c>
      <c r="H5" s="137"/>
      <c r="I5" s="137"/>
      <c r="J5" s="137"/>
      <c r="K5" s="137"/>
      <c r="L5" s="137"/>
      <c r="M5" s="21" t="s">
        <v>2</v>
      </c>
      <c r="N5" s="138">
        <v>46183</v>
      </c>
      <c r="O5" s="136"/>
    </row>
    <row r="6" spans="1:18" ht="20.149999999999999" customHeight="1" thickBot="1" x14ac:dyDescent="0.25">
      <c r="A6" s="110" t="s">
        <v>56</v>
      </c>
      <c r="B6" s="111"/>
      <c r="C6" s="112">
        <v>4413500</v>
      </c>
      <c r="D6" s="113"/>
      <c r="E6" s="113"/>
      <c r="F6" s="17" t="s">
        <v>24</v>
      </c>
      <c r="G6" s="114" t="s">
        <v>80</v>
      </c>
      <c r="H6" s="115"/>
      <c r="I6" s="115"/>
      <c r="J6" s="115"/>
      <c r="K6" s="115"/>
      <c r="L6" s="116"/>
      <c r="M6" s="22" t="s">
        <v>13</v>
      </c>
      <c r="N6" s="117" t="s">
        <v>58</v>
      </c>
      <c r="O6" s="118"/>
    </row>
    <row r="7" spans="1:18" s="1" customFormat="1" ht="24.05" customHeight="1" x14ac:dyDescent="0.25">
      <c r="A7" s="119" t="s">
        <v>5</v>
      </c>
      <c r="B7" s="121" t="s">
        <v>6</v>
      </c>
      <c r="C7" s="122"/>
      <c r="D7" s="125" t="s">
        <v>7</v>
      </c>
      <c r="E7" s="127" t="s">
        <v>8</v>
      </c>
      <c r="F7" s="125" t="s">
        <v>20</v>
      </c>
      <c r="G7" s="129" t="s">
        <v>21</v>
      </c>
      <c r="H7" s="102" t="s">
        <v>14</v>
      </c>
      <c r="I7" s="103"/>
      <c r="J7" s="104" t="s">
        <v>15</v>
      </c>
      <c r="K7" s="104"/>
      <c r="L7" s="105" t="s">
        <v>17</v>
      </c>
      <c r="M7" s="106"/>
      <c r="N7" s="109" t="s">
        <v>4</v>
      </c>
      <c r="O7" s="106"/>
    </row>
    <row r="8" spans="1:18" s="1" customFormat="1" ht="15.05" customHeight="1" thickBot="1" x14ac:dyDescent="0.3">
      <c r="A8" s="120"/>
      <c r="B8" s="123"/>
      <c r="C8" s="124"/>
      <c r="D8" s="126"/>
      <c r="E8" s="128"/>
      <c r="F8" s="126"/>
      <c r="G8" s="130"/>
      <c r="H8" s="73" t="s">
        <v>7</v>
      </c>
      <c r="I8" s="41" t="s">
        <v>9</v>
      </c>
      <c r="J8" s="42" t="s">
        <v>7</v>
      </c>
      <c r="K8" s="43" t="s">
        <v>3</v>
      </c>
      <c r="L8" s="73" t="s">
        <v>7</v>
      </c>
      <c r="M8" s="41" t="s">
        <v>3</v>
      </c>
      <c r="N8" s="44" t="s">
        <v>7</v>
      </c>
      <c r="O8" s="45" t="s">
        <v>9</v>
      </c>
    </row>
    <row r="9" spans="1:18" s="3" customFormat="1" ht="20" customHeight="1" x14ac:dyDescent="0.2">
      <c r="A9" s="63">
        <v>0</v>
      </c>
      <c r="B9" s="100" t="s">
        <v>63</v>
      </c>
      <c r="C9" s="101" t="s">
        <v>53</v>
      </c>
      <c r="D9" s="64">
        <v>1</v>
      </c>
      <c r="E9" s="65" t="s">
        <v>52</v>
      </c>
      <c r="F9" s="66">
        <f>C6*0.1</f>
        <v>441350</v>
      </c>
      <c r="G9" s="66">
        <f t="shared" ref="G9:G23" si="0">F9*D9</f>
        <v>441350</v>
      </c>
      <c r="H9" s="67">
        <v>1</v>
      </c>
      <c r="I9" s="68">
        <f t="shared" ref="I9:I23" si="1">H9*G9</f>
        <v>441350</v>
      </c>
      <c r="J9" s="69"/>
      <c r="K9" s="70">
        <f>J9*F9*D9</f>
        <v>0</v>
      </c>
      <c r="L9" s="67">
        <f t="shared" ref="L9:M23" si="2">J9+H9</f>
        <v>1</v>
      </c>
      <c r="M9" s="68">
        <f t="shared" si="2"/>
        <v>441350</v>
      </c>
      <c r="N9" s="69">
        <f t="shared" ref="N9:N23" si="3">D9/D9-L9</f>
        <v>0</v>
      </c>
      <c r="O9" s="71">
        <f t="shared" ref="O9:O23" si="4">N9*G9</f>
        <v>0</v>
      </c>
      <c r="Q9" s="3" t="s">
        <v>79</v>
      </c>
    </row>
    <row r="10" spans="1:18" s="3" customFormat="1" ht="20" customHeight="1" x14ac:dyDescent="0.2">
      <c r="A10" s="62">
        <v>1</v>
      </c>
      <c r="B10" s="107" t="s">
        <v>53</v>
      </c>
      <c r="C10" s="108" t="s">
        <v>53</v>
      </c>
      <c r="D10" s="23">
        <v>1</v>
      </c>
      <c r="E10" s="24" t="s">
        <v>52</v>
      </c>
      <c r="F10" s="20">
        <v>170235</v>
      </c>
      <c r="G10" s="20">
        <f t="shared" si="0"/>
        <v>170235</v>
      </c>
      <c r="H10" s="34">
        <v>0</v>
      </c>
      <c r="I10" s="18">
        <f t="shared" si="1"/>
        <v>0</v>
      </c>
      <c r="J10" s="35">
        <v>0.53620000000000001</v>
      </c>
      <c r="K10" s="19">
        <f t="shared" ref="K10:K23" si="5">J10*F10*D10</f>
        <v>91280.006999999998</v>
      </c>
      <c r="L10" s="34">
        <f t="shared" si="2"/>
        <v>0.53620000000000001</v>
      </c>
      <c r="M10" s="18">
        <f t="shared" si="2"/>
        <v>91280.006999999998</v>
      </c>
      <c r="N10" s="35">
        <f t="shared" si="3"/>
        <v>0.46379999999999999</v>
      </c>
      <c r="O10" s="52">
        <f t="shared" si="4"/>
        <v>78954.993000000002</v>
      </c>
      <c r="Q10" s="3">
        <v>53.62</v>
      </c>
      <c r="R10" s="154">
        <f>Q10/100-L10</f>
        <v>0</v>
      </c>
    </row>
    <row r="11" spans="1:18" s="3" customFormat="1" ht="20" customHeight="1" x14ac:dyDescent="0.2">
      <c r="A11" s="62">
        <v>2</v>
      </c>
      <c r="B11" s="107" t="s">
        <v>66</v>
      </c>
      <c r="C11" s="108"/>
      <c r="D11" s="23">
        <v>1</v>
      </c>
      <c r="E11" s="24" t="s">
        <v>52</v>
      </c>
      <c r="F11" s="20">
        <v>69228.900000000009</v>
      </c>
      <c r="G11" s="20">
        <f t="shared" si="0"/>
        <v>69228.900000000009</v>
      </c>
      <c r="H11" s="34">
        <v>0</v>
      </c>
      <c r="I11" s="18">
        <f t="shared" si="1"/>
        <v>0</v>
      </c>
      <c r="J11" s="35">
        <v>0.69739999999999991</v>
      </c>
      <c r="K11" s="19">
        <f t="shared" si="5"/>
        <v>48280.234859999997</v>
      </c>
      <c r="L11" s="34">
        <f t="shared" si="2"/>
        <v>0.69739999999999991</v>
      </c>
      <c r="M11" s="18">
        <f t="shared" si="2"/>
        <v>48280.234859999997</v>
      </c>
      <c r="N11" s="35">
        <f t="shared" si="3"/>
        <v>0.30260000000000009</v>
      </c>
      <c r="O11" s="52">
        <f t="shared" si="4"/>
        <v>20948.665140000008</v>
      </c>
      <c r="Q11" s="3">
        <v>69.739999999999995</v>
      </c>
      <c r="R11" s="154">
        <f t="shared" ref="R11:R23" si="6">Q11/100-L11</f>
        <v>0</v>
      </c>
    </row>
    <row r="12" spans="1:18" s="3" customFormat="1" ht="20" customHeight="1" x14ac:dyDescent="0.2">
      <c r="A12" s="62">
        <v>3</v>
      </c>
      <c r="B12" s="107" t="s">
        <v>67</v>
      </c>
      <c r="C12" s="108"/>
      <c r="D12" s="23">
        <v>1</v>
      </c>
      <c r="E12" s="24" t="s">
        <v>52</v>
      </c>
      <c r="F12" s="20">
        <v>497437.14599999995</v>
      </c>
      <c r="G12" s="20">
        <f t="shared" si="0"/>
        <v>497437.14599999995</v>
      </c>
      <c r="H12" s="34">
        <v>0.10803955923307747</v>
      </c>
      <c r="I12" s="18">
        <f t="shared" si="1"/>
        <v>53742.89</v>
      </c>
      <c r="J12" s="35">
        <v>0.23866044076692255</v>
      </c>
      <c r="K12" s="19">
        <f t="shared" si="5"/>
        <v>118718.5685182</v>
      </c>
      <c r="L12" s="34">
        <f t="shared" si="2"/>
        <v>0.34670000000000001</v>
      </c>
      <c r="M12" s="18">
        <f t="shared" si="2"/>
        <v>172461.4585182</v>
      </c>
      <c r="N12" s="35">
        <f t="shared" si="3"/>
        <v>0.65329999999999999</v>
      </c>
      <c r="O12" s="52">
        <f t="shared" si="4"/>
        <v>324975.68748179998</v>
      </c>
      <c r="Q12" s="3">
        <v>34.67</v>
      </c>
      <c r="R12" s="154">
        <f t="shared" si="6"/>
        <v>0</v>
      </c>
    </row>
    <row r="13" spans="1:18" s="3" customFormat="1" ht="20" customHeight="1" x14ac:dyDescent="0.2">
      <c r="A13" s="62">
        <v>4</v>
      </c>
      <c r="B13" s="107" t="s">
        <v>68</v>
      </c>
      <c r="C13" s="108"/>
      <c r="D13" s="23">
        <v>1</v>
      </c>
      <c r="E13" s="24" t="s">
        <v>52</v>
      </c>
      <c r="F13" s="20">
        <v>680695.56</v>
      </c>
      <c r="G13" s="20">
        <f t="shared" si="0"/>
        <v>680695.56</v>
      </c>
      <c r="H13" s="34">
        <v>6.7100000000000007E-2</v>
      </c>
      <c r="I13" s="18">
        <f t="shared" si="1"/>
        <v>45674.67207600001</v>
      </c>
      <c r="J13" s="35">
        <v>0.27079999999999999</v>
      </c>
      <c r="K13" s="19">
        <f t="shared" si="5"/>
        <v>184332.357648</v>
      </c>
      <c r="L13" s="34">
        <f t="shared" si="2"/>
        <v>0.33789999999999998</v>
      </c>
      <c r="M13" s="18">
        <f t="shared" si="2"/>
        <v>230007.02972400002</v>
      </c>
      <c r="N13" s="35">
        <f t="shared" si="3"/>
        <v>0.66210000000000002</v>
      </c>
      <c r="O13" s="52">
        <f t="shared" si="4"/>
        <v>450688.53027600003</v>
      </c>
      <c r="Q13" s="3">
        <v>33.79</v>
      </c>
      <c r="R13" s="154">
        <f t="shared" si="6"/>
        <v>0</v>
      </c>
    </row>
    <row r="14" spans="1:18" s="3" customFormat="1" ht="20" customHeight="1" x14ac:dyDescent="0.2">
      <c r="A14" s="62">
        <v>5</v>
      </c>
      <c r="B14" s="107" t="s">
        <v>69</v>
      </c>
      <c r="C14" s="108"/>
      <c r="D14" s="23">
        <v>1</v>
      </c>
      <c r="E14" s="24" t="s">
        <v>52</v>
      </c>
      <c r="F14" s="20">
        <v>670050.19799999997</v>
      </c>
      <c r="G14" s="20">
        <f t="shared" si="0"/>
        <v>670050.19799999997</v>
      </c>
      <c r="H14" s="34">
        <v>8.8400000000000006E-2</v>
      </c>
      <c r="I14" s="18">
        <f t="shared" si="1"/>
        <v>59232.437503200003</v>
      </c>
      <c r="J14" s="35">
        <v>3.73E-2</v>
      </c>
      <c r="K14" s="19">
        <f t="shared" si="5"/>
        <v>24992.872385399998</v>
      </c>
      <c r="L14" s="34">
        <f t="shared" si="2"/>
        <v>0.12570000000000001</v>
      </c>
      <c r="M14" s="18">
        <f t="shared" si="2"/>
        <v>84225.309888599993</v>
      </c>
      <c r="N14" s="35">
        <f t="shared" si="3"/>
        <v>0.87429999999999997</v>
      </c>
      <c r="O14" s="52">
        <f t="shared" si="4"/>
        <v>585824.88811139995</v>
      </c>
      <c r="Q14" s="3">
        <v>12.57</v>
      </c>
      <c r="R14" s="154">
        <f t="shared" si="6"/>
        <v>0</v>
      </c>
    </row>
    <row r="15" spans="1:18" s="3" customFormat="1" ht="20" customHeight="1" x14ac:dyDescent="0.2">
      <c r="A15" s="62">
        <v>6</v>
      </c>
      <c r="B15" s="107" t="s">
        <v>70</v>
      </c>
      <c r="C15" s="108"/>
      <c r="D15" s="23">
        <v>1</v>
      </c>
      <c r="E15" s="24" t="s">
        <v>52</v>
      </c>
      <c r="F15" s="20">
        <v>304668.27</v>
      </c>
      <c r="G15" s="20">
        <f t="shared" si="0"/>
        <v>304668.27</v>
      </c>
      <c r="H15" s="34">
        <v>0</v>
      </c>
      <c r="I15" s="18">
        <f t="shared" si="1"/>
        <v>0</v>
      </c>
      <c r="J15" s="35">
        <v>0.46700000000000003</v>
      </c>
      <c r="K15" s="19">
        <f t="shared" si="5"/>
        <v>142280.08209000001</v>
      </c>
      <c r="L15" s="34">
        <f t="shared" si="2"/>
        <v>0.46700000000000003</v>
      </c>
      <c r="M15" s="18">
        <f t="shared" si="2"/>
        <v>142280.08209000001</v>
      </c>
      <c r="N15" s="35">
        <f t="shared" si="3"/>
        <v>0.53299999999999992</v>
      </c>
      <c r="O15" s="52">
        <f t="shared" si="4"/>
        <v>162388.18790999998</v>
      </c>
      <c r="Q15" s="3">
        <v>46.7</v>
      </c>
      <c r="R15" s="154">
        <f t="shared" si="6"/>
        <v>0</v>
      </c>
    </row>
    <row r="16" spans="1:18" s="3" customFormat="1" ht="20" customHeight="1" x14ac:dyDescent="0.2">
      <c r="A16" s="62">
        <v>7</v>
      </c>
      <c r="B16" s="107" t="s">
        <v>71</v>
      </c>
      <c r="C16" s="108"/>
      <c r="D16" s="23">
        <v>1</v>
      </c>
      <c r="E16" s="24" t="s">
        <v>52</v>
      </c>
      <c r="F16" s="20">
        <v>301630.23000000004</v>
      </c>
      <c r="G16" s="20">
        <f t="shared" si="0"/>
        <v>301630.23000000004</v>
      </c>
      <c r="H16" s="34">
        <v>0</v>
      </c>
      <c r="I16" s="18">
        <f t="shared" si="1"/>
        <v>0</v>
      </c>
      <c r="J16" s="35">
        <v>2.9500000000000002E-2</v>
      </c>
      <c r="K16" s="19">
        <f t="shared" si="5"/>
        <v>8898.0917850000023</v>
      </c>
      <c r="L16" s="34">
        <f t="shared" si="2"/>
        <v>2.9500000000000002E-2</v>
      </c>
      <c r="M16" s="18">
        <f t="shared" si="2"/>
        <v>8898.0917850000023</v>
      </c>
      <c r="N16" s="35">
        <f t="shared" si="3"/>
        <v>0.97050000000000003</v>
      </c>
      <c r="O16" s="52">
        <f t="shared" si="4"/>
        <v>292732.13821500004</v>
      </c>
      <c r="Q16" s="3">
        <v>2.95</v>
      </c>
      <c r="R16" s="154">
        <f t="shared" si="6"/>
        <v>0</v>
      </c>
    </row>
    <row r="17" spans="1:18" s="3" customFormat="1" ht="20" customHeight="1" x14ac:dyDescent="0.2">
      <c r="A17" s="62">
        <v>8</v>
      </c>
      <c r="B17" s="107" t="s">
        <v>72</v>
      </c>
      <c r="C17" s="108"/>
      <c r="D17" s="23">
        <v>1</v>
      </c>
      <c r="E17" s="24" t="s">
        <v>52</v>
      </c>
      <c r="F17" s="20">
        <v>145324.818</v>
      </c>
      <c r="G17" s="20">
        <f t="shared" si="0"/>
        <v>145324.818</v>
      </c>
      <c r="H17" s="34">
        <v>0</v>
      </c>
      <c r="I17" s="18">
        <f t="shared" si="1"/>
        <v>0</v>
      </c>
      <c r="J17" s="35"/>
      <c r="K17" s="19">
        <f t="shared" si="5"/>
        <v>0</v>
      </c>
      <c r="L17" s="34">
        <f t="shared" si="2"/>
        <v>0</v>
      </c>
      <c r="M17" s="18">
        <f t="shared" si="2"/>
        <v>0</v>
      </c>
      <c r="N17" s="35">
        <f t="shared" si="3"/>
        <v>1</v>
      </c>
      <c r="O17" s="52">
        <f t="shared" si="4"/>
        <v>145324.818</v>
      </c>
      <c r="Q17" s="3">
        <v>0</v>
      </c>
      <c r="R17" s="154">
        <f t="shared" si="6"/>
        <v>0</v>
      </c>
    </row>
    <row r="18" spans="1:18" s="3" customFormat="1" ht="20" customHeight="1" x14ac:dyDescent="0.2">
      <c r="A18" s="62">
        <v>9</v>
      </c>
      <c r="B18" s="107" t="s">
        <v>73</v>
      </c>
      <c r="C18" s="108"/>
      <c r="D18" s="23">
        <v>1</v>
      </c>
      <c r="E18" s="24" t="s">
        <v>52</v>
      </c>
      <c r="F18" s="20">
        <v>355922.11745999998</v>
      </c>
      <c r="G18" s="20">
        <f t="shared" si="0"/>
        <v>355922.11745999998</v>
      </c>
      <c r="H18" s="34">
        <v>0</v>
      </c>
      <c r="I18" s="18">
        <f t="shared" si="1"/>
        <v>0</v>
      </c>
      <c r="J18" s="35"/>
      <c r="K18" s="19">
        <f t="shared" si="5"/>
        <v>0</v>
      </c>
      <c r="L18" s="34">
        <f t="shared" si="2"/>
        <v>0</v>
      </c>
      <c r="M18" s="18">
        <f t="shared" si="2"/>
        <v>0</v>
      </c>
      <c r="N18" s="35">
        <f t="shared" si="3"/>
        <v>1</v>
      </c>
      <c r="O18" s="52">
        <f t="shared" si="4"/>
        <v>355922.11745999998</v>
      </c>
      <c r="Q18" s="3">
        <v>0</v>
      </c>
      <c r="R18" s="154">
        <f t="shared" si="6"/>
        <v>0</v>
      </c>
    </row>
    <row r="19" spans="1:18" s="3" customFormat="1" ht="20" customHeight="1" x14ac:dyDescent="0.2">
      <c r="A19" s="62">
        <v>10</v>
      </c>
      <c r="B19" s="107" t="s">
        <v>74</v>
      </c>
      <c r="C19" s="108"/>
      <c r="D19" s="23">
        <v>1</v>
      </c>
      <c r="E19" s="24" t="s">
        <v>52</v>
      </c>
      <c r="F19" s="20">
        <v>319867.18253999995</v>
      </c>
      <c r="G19" s="20">
        <f t="shared" si="0"/>
        <v>319867.18253999995</v>
      </c>
      <c r="H19" s="34">
        <v>0</v>
      </c>
      <c r="I19" s="18">
        <f t="shared" si="1"/>
        <v>0</v>
      </c>
      <c r="J19" s="35"/>
      <c r="K19" s="19">
        <f t="shared" si="5"/>
        <v>0</v>
      </c>
      <c r="L19" s="34">
        <f t="shared" si="2"/>
        <v>0</v>
      </c>
      <c r="M19" s="18">
        <f t="shared" si="2"/>
        <v>0</v>
      </c>
      <c r="N19" s="35">
        <f t="shared" si="3"/>
        <v>1</v>
      </c>
      <c r="O19" s="52">
        <f t="shared" si="4"/>
        <v>319867.18253999995</v>
      </c>
      <c r="Q19" s="3">
        <v>0</v>
      </c>
      <c r="R19" s="154">
        <f t="shared" si="6"/>
        <v>0</v>
      </c>
    </row>
    <row r="20" spans="1:18" s="3" customFormat="1" ht="20" customHeight="1" x14ac:dyDescent="0.2">
      <c r="A20" s="62">
        <v>11</v>
      </c>
      <c r="B20" s="107" t="s">
        <v>75</v>
      </c>
      <c r="C20" s="108"/>
      <c r="D20" s="23">
        <v>1</v>
      </c>
      <c r="E20" s="24" t="s">
        <v>52</v>
      </c>
      <c r="F20" s="20">
        <v>158004.26999999999</v>
      </c>
      <c r="G20" s="20">
        <f t="shared" si="0"/>
        <v>158004.26999999999</v>
      </c>
      <c r="H20" s="34">
        <v>0</v>
      </c>
      <c r="I20" s="18">
        <f t="shared" si="1"/>
        <v>0</v>
      </c>
      <c r="J20" s="35"/>
      <c r="K20" s="19">
        <f t="shared" si="5"/>
        <v>0</v>
      </c>
      <c r="L20" s="34">
        <f t="shared" si="2"/>
        <v>0</v>
      </c>
      <c r="M20" s="18">
        <f t="shared" si="2"/>
        <v>0</v>
      </c>
      <c r="N20" s="35">
        <f t="shared" si="3"/>
        <v>1</v>
      </c>
      <c r="O20" s="52">
        <f t="shared" si="4"/>
        <v>158004.26999999999</v>
      </c>
      <c r="Q20" s="3">
        <v>0</v>
      </c>
      <c r="R20" s="154">
        <f t="shared" si="6"/>
        <v>0</v>
      </c>
    </row>
    <row r="21" spans="1:18" s="3" customFormat="1" ht="20" customHeight="1" x14ac:dyDescent="0.2">
      <c r="A21" s="62">
        <v>12</v>
      </c>
      <c r="B21" s="107" t="s">
        <v>76</v>
      </c>
      <c r="C21" s="108"/>
      <c r="D21" s="23">
        <v>1</v>
      </c>
      <c r="E21" s="24" t="s">
        <v>52</v>
      </c>
      <c r="F21" s="20">
        <v>149082.21</v>
      </c>
      <c r="G21" s="20">
        <f t="shared" si="0"/>
        <v>149082.21</v>
      </c>
      <c r="H21" s="34">
        <v>0</v>
      </c>
      <c r="I21" s="18">
        <f t="shared" si="1"/>
        <v>0</v>
      </c>
      <c r="J21" s="35"/>
      <c r="K21" s="19">
        <f t="shared" si="5"/>
        <v>0</v>
      </c>
      <c r="L21" s="34">
        <f t="shared" si="2"/>
        <v>0</v>
      </c>
      <c r="M21" s="18">
        <f t="shared" si="2"/>
        <v>0</v>
      </c>
      <c r="N21" s="35">
        <f t="shared" si="3"/>
        <v>1</v>
      </c>
      <c r="O21" s="52">
        <f t="shared" si="4"/>
        <v>149082.21</v>
      </c>
      <c r="Q21" s="3">
        <v>0</v>
      </c>
      <c r="R21" s="154">
        <f t="shared" si="6"/>
        <v>0</v>
      </c>
    </row>
    <row r="22" spans="1:18" s="3" customFormat="1" ht="20" customHeight="1" x14ac:dyDescent="0.2">
      <c r="A22" s="62">
        <v>13</v>
      </c>
      <c r="B22" s="107" t="s">
        <v>77</v>
      </c>
      <c r="C22" s="108"/>
      <c r="D22" s="23">
        <v>1</v>
      </c>
      <c r="E22" s="24" t="s">
        <v>52</v>
      </c>
      <c r="F22" s="20">
        <v>133289.64000000001</v>
      </c>
      <c r="G22" s="20">
        <f t="shared" si="0"/>
        <v>133289.64000000001</v>
      </c>
      <c r="H22" s="34">
        <v>0</v>
      </c>
      <c r="I22" s="18">
        <f t="shared" si="1"/>
        <v>0</v>
      </c>
      <c r="J22" s="35"/>
      <c r="K22" s="19">
        <f t="shared" si="5"/>
        <v>0</v>
      </c>
      <c r="L22" s="34">
        <f t="shared" si="2"/>
        <v>0</v>
      </c>
      <c r="M22" s="18">
        <f t="shared" si="2"/>
        <v>0</v>
      </c>
      <c r="N22" s="35">
        <f t="shared" si="3"/>
        <v>1</v>
      </c>
      <c r="O22" s="52">
        <f t="shared" si="4"/>
        <v>133289.64000000001</v>
      </c>
      <c r="Q22" s="3">
        <v>0</v>
      </c>
      <c r="R22" s="154">
        <f t="shared" si="6"/>
        <v>0</v>
      </c>
    </row>
    <row r="23" spans="1:18" s="3" customFormat="1" ht="20" customHeight="1" thickBot="1" x14ac:dyDescent="0.25">
      <c r="A23" s="72">
        <v>14</v>
      </c>
      <c r="B23" s="152" t="s">
        <v>62</v>
      </c>
      <c r="C23" s="153"/>
      <c r="D23" s="53">
        <v>1</v>
      </c>
      <c r="E23" s="54" t="s">
        <v>52</v>
      </c>
      <c r="F23" s="55">
        <v>16714.457999999999</v>
      </c>
      <c r="G23" s="55">
        <f t="shared" si="0"/>
        <v>16714.457999999999</v>
      </c>
      <c r="H23" s="56">
        <v>0</v>
      </c>
      <c r="I23" s="57">
        <f t="shared" si="1"/>
        <v>0</v>
      </c>
      <c r="J23" s="58"/>
      <c r="K23" s="59">
        <f t="shared" si="5"/>
        <v>0</v>
      </c>
      <c r="L23" s="56">
        <f t="shared" si="2"/>
        <v>0</v>
      </c>
      <c r="M23" s="57">
        <f t="shared" si="2"/>
        <v>0</v>
      </c>
      <c r="N23" s="58">
        <f t="shared" si="3"/>
        <v>1</v>
      </c>
      <c r="O23" s="60">
        <f t="shared" si="4"/>
        <v>16714.457999999999</v>
      </c>
      <c r="Q23" s="3">
        <v>0</v>
      </c>
      <c r="R23" s="154">
        <f t="shared" si="6"/>
        <v>0</v>
      </c>
    </row>
    <row r="24" spans="1:18" s="2" customFormat="1" ht="20.149999999999999" customHeight="1" thickBot="1" x14ac:dyDescent="0.3">
      <c r="A24" s="86" t="s">
        <v>16</v>
      </c>
      <c r="B24" s="87"/>
      <c r="C24" s="87"/>
      <c r="D24" s="87"/>
      <c r="E24" s="87"/>
      <c r="F24" s="88"/>
      <c r="G24" s="46">
        <f>SUBTOTAL(9,G9:G23)</f>
        <v>4413499.9999999991</v>
      </c>
      <c r="H24" s="47">
        <f>I24/C6</f>
        <v>0.13594652760376119</v>
      </c>
      <c r="I24" s="46">
        <f>SUBTOTAL(9,I9:I23)</f>
        <v>599999.99957920006</v>
      </c>
      <c r="J24" s="48">
        <f>K24/C6</f>
        <v>0.14020215572371136</v>
      </c>
      <c r="K24" s="49">
        <f>SUBTOTAL(9,K9:K23)</f>
        <v>618782.21428660012</v>
      </c>
      <c r="L24" s="47">
        <f>M24/C6</f>
        <v>0.2761486833274725</v>
      </c>
      <c r="M24" s="50">
        <f>SUBTOTAL(9,M9:M23)</f>
        <v>1218782.2138657998</v>
      </c>
      <c r="N24" s="48">
        <f>O24/C6</f>
        <v>0.72385131667252756</v>
      </c>
      <c r="O24" s="51">
        <f>SUBTOTAL(9,O9:O23)</f>
        <v>3194717.7861342002</v>
      </c>
    </row>
    <row r="25" spans="1:18" ht="20.3" customHeight="1" thickBot="1" x14ac:dyDescent="0.3">
      <c r="A25" s="89" t="s">
        <v>10</v>
      </c>
      <c r="B25" s="90"/>
      <c r="C25" s="90"/>
      <c r="D25" s="90"/>
      <c r="E25" s="90"/>
      <c r="F25" s="90"/>
      <c r="G25" s="90"/>
      <c r="H25" s="90"/>
      <c r="I25" s="91"/>
      <c r="J25" s="92"/>
      <c r="K25" s="93"/>
      <c r="L25" s="93"/>
      <c r="M25" s="94"/>
      <c r="N25" s="5"/>
      <c r="O25" s="6"/>
    </row>
    <row r="26" spans="1:18" ht="20.95" customHeight="1" thickBot="1" x14ac:dyDescent="0.25">
      <c r="A26" s="38"/>
      <c r="B26" s="39"/>
      <c r="C26" s="39"/>
      <c r="D26" s="39"/>
      <c r="E26" s="39"/>
      <c r="F26" s="39"/>
      <c r="G26" s="95" t="s">
        <v>22</v>
      </c>
      <c r="H26" s="95"/>
      <c r="I26" s="96"/>
      <c r="J26" s="97">
        <f>K24</f>
        <v>618782.21428660012</v>
      </c>
      <c r="K26" s="98"/>
      <c r="L26" s="98"/>
      <c r="M26" s="99"/>
      <c r="N26" s="13"/>
      <c r="O26" s="14"/>
    </row>
    <row r="27" spans="1:18" ht="29.3" customHeight="1" x14ac:dyDescent="0.2">
      <c r="A27" s="7"/>
      <c r="B27" s="85" t="s">
        <v>54</v>
      </c>
      <c r="C27" s="8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8"/>
    </row>
    <row r="28" spans="1:18" x14ac:dyDescent="0.2">
      <c r="A28" s="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"/>
    </row>
    <row r="29" spans="1:18" ht="73" customHeight="1" thickBo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</row>
    <row r="30" spans="1:18" ht="8.1999999999999993" customHeight="1" thickBot="1" x14ac:dyDescent="0.25"/>
    <row r="31" spans="1:18" ht="17.7" x14ac:dyDescent="0.2">
      <c r="A31" s="81" t="s">
        <v>51</v>
      </c>
      <c r="B31" s="82"/>
      <c r="C31" s="82"/>
      <c r="D31" s="83"/>
      <c r="E31" s="83"/>
      <c r="F31" s="82"/>
      <c r="G31" s="82"/>
      <c r="H31" s="82"/>
      <c r="I31" s="82"/>
      <c r="J31" s="82"/>
      <c r="K31" s="82"/>
      <c r="L31" s="82"/>
      <c r="M31" s="82"/>
      <c r="N31" s="82"/>
      <c r="O31" s="84"/>
    </row>
    <row r="32" spans="1:18" ht="15.05" x14ac:dyDescent="0.2">
      <c r="A32" s="75" t="s">
        <v>25</v>
      </c>
      <c r="B32" s="76"/>
      <c r="C32" s="74">
        <f>G24</f>
        <v>4413499.9999999991</v>
      </c>
      <c r="D32" s="77" t="s">
        <v>60</v>
      </c>
      <c r="E32" s="78"/>
      <c r="F32" s="30">
        <v>441350</v>
      </c>
      <c r="G32" s="29"/>
      <c r="H32" s="79"/>
      <c r="I32" s="80"/>
      <c r="J32" s="29" t="s">
        <v>47</v>
      </c>
      <c r="K32" s="30">
        <v>0</v>
      </c>
      <c r="L32" s="29" t="s">
        <v>48</v>
      </c>
      <c r="M32" s="30">
        <v>0</v>
      </c>
      <c r="N32" s="29" t="s">
        <v>49</v>
      </c>
      <c r="O32" s="33">
        <v>0</v>
      </c>
    </row>
    <row r="33" spans="1:15" ht="15.05" x14ac:dyDescent="0.2">
      <c r="A33" s="75" t="s">
        <v>50</v>
      </c>
      <c r="B33" s="76"/>
      <c r="C33" s="74">
        <f>M24</f>
        <v>1218782.2138657998</v>
      </c>
      <c r="D33" s="77" t="s">
        <v>26</v>
      </c>
      <c r="E33" s="78"/>
      <c r="F33" s="30">
        <v>158649.9995792</v>
      </c>
      <c r="G33" s="29" t="s">
        <v>27</v>
      </c>
      <c r="H33" s="79">
        <v>0</v>
      </c>
      <c r="I33" s="80"/>
      <c r="J33" s="29" t="s">
        <v>28</v>
      </c>
      <c r="K33" s="30">
        <v>0</v>
      </c>
      <c r="L33" s="29" t="s">
        <v>29</v>
      </c>
      <c r="M33" s="30">
        <v>0</v>
      </c>
      <c r="N33" s="29" t="s">
        <v>30</v>
      </c>
      <c r="O33" s="33">
        <v>0</v>
      </c>
    </row>
    <row r="34" spans="1:15" ht="15.05" x14ac:dyDescent="0.2">
      <c r="A34" s="75" t="s">
        <v>36</v>
      </c>
      <c r="B34" s="76"/>
      <c r="C34" s="74">
        <f>O24</f>
        <v>3194717.7861342002</v>
      </c>
      <c r="D34" s="77" t="s">
        <v>31</v>
      </c>
      <c r="E34" s="78"/>
      <c r="F34" s="30">
        <f>K24</f>
        <v>618782.21428660012</v>
      </c>
      <c r="G34" s="29" t="s">
        <v>32</v>
      </c>
      <c r="H34" s="79">
        <v>0</v>
      </c>
      <c r="I34" s="80"/>
      <c r="J34" s="29" t="s">
        <v>33</v>
      </c>
      <c r="K34" s="30">
        <v>0</v>
      </c>
      <c r="L34" s="29" t="s">
        <v>34</v>
      </c>
      <c r="M34" s="30">
        <v>0</v>
      </c>
      <c r="N34" s="29" t="s">
        <v>35</v>
      </c>
      <c r="O34" s="33">
        <v>0</v>
      </c>
    </row>
    <row r="35" spans="1:15" ht="15.05" x14ac:dyDescent="0.2">
      <c r="A35" s="75"/>
      <c r="B35" s="76"/>
      <c r="C35" s="31"/>
      <c r="D35" s="77" t="s">
        <v>37</v>
      </c>
      <c r="E35" s="78"/>
      <c r="F35" s="30">
        <v>0</v>
      </c>
      <c r="G35" s="29" t="s">
        <v>38</v>
      </c>
      <c r="H35" s="79">
        <v>0</v>
      </c>
      <c r="I35" s="80"/>
      <c r="J35" s="29" t="s">
        <v>39</v>
      </c>
      <c r="K35" s="30">
        <v>0</v>
      </c>
      <c r="L35" s="29" t="s">
        <v>40</v>
      </c>
      <c r="M35" s="30">
        <v>0</v>
      </c>
      <c r="N35" s="29" t="s">
        <v>41</v>
      </c>
      <c r="O35" s="33">
        <v>0</v>
      </c>
    </row>
    <row r="36" spans="1:15" ht="15.05" x14ac:dyDescent="0.2">
      <c r="A36" s="75"/>
      <c r="B36" s="76"/>
      <c r="C36" s="31"/>
      <c r="D36" s="77" t="s">
        <v>42</v>
      </c>
      <c r="E36" s="78"/>
      <c r="F36" s="30">
        <v>0</v>
      </c>
      <c r="G36" s="29" t="s">
        <v>43</v>
      </c>
      <c r="H36" s="79">
        <v>0</v>
      </c>
      <c r="I36" s="80"/>
      <c r="J36" s="29" t="s">
        <v>44</v>
      </c>
      <c r="K36" s="30">
        <v>0</v>
      </c>
      <c r="L36" s="29" t="s">
        <v>45</v>
      </c>
      <c r="M36" s="30">
        <v>0</v>
      </c>
      <c r="N36" s="29" t="s">
        <v>46</v>
      </c>
      <c r="O36" s="33">
        <v>0</v>
      </c>
    </row>
    <row r="37" spans="1:15" ht="18.350000000000001" thickBot="1" x14ac:dyDescent="0.25">
      <c r="A37" s="25"/>
      <c r="B37" s="26"/>
      <c r="C37" s="26"/>
      <c r="D37" s="26"/>
      <c r="E37" s="26"/>
      <c r="F37" s="37"/>
      <c r="G37" s="37"/>
      <c r="H37" s="27"/>
      <c r="I37" s="36"/>
      <c r="J37" s="26"/>
      <c r="K37" s="26"/>
      <c r="L37" s="26"/>
      <c r="M37" s="26"/>
      <c r="N37" s="26"/>
      <c r="O37" s="28"/>
    </row>
    <row r="40" spans="1:15" x14ac:dyDescent="0.2">
      <c r="F40" s="61">
        <f>F35*0.7</f>
        <v>0</v>
      </c>
    </row>
    <row r="41" spans="1:15" x14ac:dyDescent="0.2">
      <c r="F41" s="61">
        <f>F35-F40</f>
        <v>0</v>
      </c>
    </row>
    <row r="42" spans="1:15" x14ac:dyDescent="0.2">
      <c r="F42" s="61">
        <f>F41*0.11</f>
        <v>0</v>
      </c>
    </row>
  </sheetData>
  <mergeCells count="65">
    <mergeCell ref="A36:B36"/>
    <mergeCell ref="D36:E36"/>
    <mergeCell ref="H36:I36"/>
    <mergeCell ref="A34:B34"/>
    <mergeCell ref="D34:E34"/>
    <mergeCell ref="H34:I34"/>
    <mergeCell ref="A35:B35"/>
    <mergeCell ref="D35:E35"/>
    <mergeCell ref="H35:I35"/>
    <mergeCell ref="A33:B33"/>
    <mergeCell ref="D33:E33"/>
    <mergeCell ref="H33:I33"/>
    <mergeCell ref="B23:C23"/>
    <mergeCell ref="A24:F24"/>
    <mergeCell ref="A25:I25"/>
    <mergeCell ref="B27:C27"/>
    <mergeCell ref="A31:O31"/>
    <mergeCell ref="A32:B32"/>
    <mergeCell ref="D32:E32"/>
    <mergeCell ref="H32:I32"/>
    <mergeCell ref="J25:M25"/>
    <mergeCell ref="G26:I26"/>
    <mergeCell ref="J26:M26"/>
    <mergeCell ref="B17:C17"/>
    <mergeCell ref="B18:C18"/>
    <mergeCell ref="B19:C19"/>
    <mergeCell ref="B20:C20"/>
    <mergeCell ref="B21:C21"/>
    <mergeCell ref="B22:C22"/>
    <mergeCell ref="B16:C16"/>
    <mergeCell ref="H7:I7"/>
    <mergeCell ref="J7:K7"/>
    <mergeCell ref="L7:M7"/>
    <mergeCell ref="N7:O7"/>
    <mergeCell ref="B9:C9"/>
    <mergeCell ref="B10:C10"/>
    <mergeCell ref="B11:C11"/>
    <mergeCell ref="B12:C12"/>
    <mergeCell ref="B13:C13"/>
    <mergeCell ref="B14:C14"/>
    <mergeCell ref="B15:C15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A4:B4"/>
    <mergeCell ref="C4:E4"/>
    <mergeCell ref="G4:L4"/>
    <mergeCell ref="N4:O4"/>
    <mergeCell ref="A5:B5"/>
    <mergeCell ref="C5:E5"/>
    <mergeCell ref="G5:L5"/>
    <mergeCell ref="N5:O5"/>
    <mergeCell ref="A1:O1"/>
    <mergeCell ref="A2:O2"/>
    <mergeCell ref="A3:B3"/>
    <mergeCell ref="C3:E3"/>
    <mergeCell ref="G3:L3"/>
    <mergeCell ref="N3:O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D8034283E8046A0DF0646209DCE74" ma:contentTypeVersion="0" ma:contentTypeDescription="Create a new document." ma:contentTypeScope="" ma:versionID="e846278f3ca44eb8f1ad1d6cfcf6eb6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774CB7-5969-470D-B239-225E9C77FDB8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131AD32-41B8-4464-9E99-A508ACA5C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8509988-61A0-4359-A736-181DAE491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BMS 01</vt:lpstr>
      <vt:lpstr>BMS 02</vt:lpstr>
      <vt:lpstr>'BMS 01'!Area_de_impressao</vt:lpstr>
      <vt:lpstr>'BMS 02'!Area_de_impressao</vt:lpstr>
      <vt:lpstr>'BMS 01'!Titulos_de_impressao</vt:lpstr>
      <vt:lpstr>'BMS 02'!Titulos_de_impressao</vt:lpstr>
    </vt:vector>
  </TitlesOfParts>
  <Company>Eletriman Engenharia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Medição de Serviços Realizados</dc:subject>
  <dc:creator>Nilson Tomas Guzzo Junior</dc:creator>
  <cp:lastModifiedBy>Gabriel Rodrigues</cp:lastModifiedBy>
  <cp:lastPrinted>2022-12-13T18:16:36Z</cp:lastPrinted>
  <dcterms:created xsi:type="dcterms:W3CDTF">2000-05-02T11:23:12Z</dcterms:created>
  <dcterms:modified xsi:type="dcterms:W3CDTF">2026-06-10T20:04:21Z</dcterms:modified>
  <cp:category>Gerenciamento de Projetos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0x01010043BD8034283E8046A0DF0646209DCE74</vt:lpwstr>
  </property>
</Properties>
</file>